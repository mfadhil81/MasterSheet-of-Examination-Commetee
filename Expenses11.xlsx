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Sheet" sheetId="1" r:id="rId1"/>
    <sheet name="Statistics" sheetId="2" r:id="rId2"/>
    <sheet name="النتائج الورقية" sheetId="3" r:id="rId3"/>
  </sheets>
  <calcPr calcId="124519" fullCalcOnLoad="1"/>
</workbook>
</file>

<file path=xl/sharedStrings.xml><?xml version="1.0" encoding="utf-8"?>
<sst xmlns="http://schemas.openxmlformats.org/spreadsheetml/2006/main" count="6220" uniqueCount="97">
  <si>
    <t xml:space="preserve"> صفحة 1 من 5</t>
  </si>
  <si>
    <t>جامعةالبصرة</t>
  </si>
  <si>
    <t>كليةالتربية الصرفة</t>
  </si>
  <si>
    <t>القسم:الفيزياء</t>
  </si>
  <si>
    <t>المرحلـــــة:الثانية</t>
  </si>
  <si>
    <t>الفصـــــــل : (سنوي)</t>
  </si>
  <si>
    <t>سجل الدرجات النهائية للسنة الدراسية2024-2025</t>
  </si>
  <si>
    <t>الوحدات</t>
  </si>
  <si>
    <t>التسلسل</t>
  </si>
  <si>
    <t>ت</t>
  </si>
  <si>
    <t>الجنس</t>
  </si>
  <si>
    <t>اسم الطالب                                     المواضيع</t>
  </si>
  <si>
    <t>اسم الطالب</t>
  </si>
  <si>
    <t>الكهربائية  والمغناطيسية</t>
  </si>
  <si>
    <t>اللغة العربية</t>
  </si>
  <si>
    <t>الرياضيات</t>
  </si>
  <si>
    <t>الميكانيك</t>
  </si>
  <si>
    <t>علم النفس</t>
  </si>
  <si>
    <t>الحاسبات</t>
  </si>
  <si>
    <t>الحرارة وخواص المادة</t>
  </si>
  <si>
    <t>اسس التربية</t>
  </si>
  <si>
    <t>حقوق الانسان و الديمقراطية</t>
  </si>
  <si>
    <t>التربية الرياضية</t>
  </si>
  <si>
    <t>النتيجة</t>
  </si>
  <si>
    <t>المعدل</t>
  </si>
  <si>
    <t>التقدير</t>
  </si>
  <si>
    <t>الترتيب</t>
  </si>
  <si>
    <t>المعدل المرحلة%</t>
  </si>
  <si>
    <t>الملاحظات</t>
  </si>
  <si>
    <t>اعضاء اللجنة الامتحانية:</t>
  </si>
  <si>
    <t>عضو اللجنة رقم 1</t>
  </si>
  <si>
    <t>عضو اللجنة رقم 2</t>
  </si>
  <si>
    <t>عضو اللجنة رقم 3</t>
  </si>
  <si>
    <t>عضو اللجنة رقم 4</t>
  </si>
  <si>
    <t>عضو اللجنة رقم 5</t>
  </si>
  <si>
    <t>عضو اللجنة رقم 6</t>
  </si>
  <si>
    <t>عضو اللجنة رقم 7</t>
  </si>
  <si>
    <t>عضو اللجنة رقم 8</t>
  </si>
  <si>
    <t>عضو اللجنة رقم 9</t>
  </si>
  <si>
    <t>عضو اللجنة رقم 10</t>
  </si>
  <si>
    <t>عضو اللجنة رقم 11</t>
  </si>
  <si>
    <t>عضو اللجنة رقم 12</t>
  </si>
  <si>
    <t>عضو اللجنة المركزية</t>
  </si>
  <si>
    <t>اسم رئيس القسم</t>
  </si>
  <si>
    <t xml:space="preserve">اسم المعاون العلمي </t>
  </si>
  <si>
    <t>رئيس اللجنة المركزية</t>
  </si>
  <si>
    <t>اسم  عميد الكلية</t>
  </si>
  <si>
    <t xml:space="preserve">1 </t>
  </si>
  <si>
    <t xml:space="preserve"> يمثل الحقل الاول ازاء اسم الطالب درجات الدور الاول و الذي يليه الدور الثاني و الحقل الثالث الاستحقاق</t>
  </si>
  <si>
    <t xml:space="preserve">2 </t>
  </si>
  <si>
    <t xml:space="preserve">يثبت ازاء اسم الطالب سنة الرسوب ويوضع خط احمر تحت اسمه وتثبت درجات المواد غير المطالب بها لنجاحه في سنة سابقة بحبر اخضر </t>
  </si>
  <si>
    <t xml:space="preserve">3 </t>
  </si>
  <si>
    <t xml:space="preserve">ل= مقبول ،  ط= متوسط  ،  جـ= جيد ، جـ جـ = جيد جداً  ، م =  امتياز </t>
  </si>
  <si>
    <t>ابراهيم صباح لملوم شده</t>
  </si>
  <si>
    <t>ذ</t>
  </si>
  <si>
    <t xml:space="preserve">احمد حسن كلخان موزان </t>
  </si>
  <si>
    <t xml:space="preserve">احمد شهاب احمد خميس </t>
  </si>
  <si>
    <t>احمد طالب ثجيل هادي</t>
  </si>
  <si>
    <t>احمد عماد ثجيل عبد</t>
  </si>
  <si>
    <t>احمد فلاح حسن جبر</t>
  </si>
  <si>
    <t>اديان صالح مهدي عاتي</t>
  </si>
  <si>
    <t>ارشد صلاح جواد حسن</t>
  </si>
  <si>
    <t xml:space="preserve">استبرق عبدالمنعم كاظم محمد </t>
  </si>
  <si>
    <t>اطياف حامد سالم مجيد</t>
  </si>
  <si>
    <t xml:space="preserve">اسم الطالب: </t>
  </si>
  <si>
    <t xml:space="preserve">رقم الطالب: </t>
  </si>
  <si>
    <t xml:space="preserve">المادة </t>
  </si>
  <si>
    <t xml:space="preserve">التقدير </t>
  </si>
  <si>
    <t xml:space="preserve">النتيجة: </t>
  </si>
  <si>
    <t xml:space="preserve">التقدير: </t>
  </si>
  <si>
    <t>ختم اللجنة الامتحانية</t>
  </si>
  <si>
    <t>.................</t>
  </si>
  <si>
    <t>رئيس القسم</t>
  </si>
  <si>
    <t xml:space="preserve"> صفحة 2 من 5</t>
  </si>
  <si>
    <t xml:space="preserve">انعام قاسم محمد علي صالح </t>
  </si>
  <si>
    <t>انور رحيم خميس حسن</t>
  </si>
  <si>
    <t>ايمان زكي علي حسين</t>
  </si>
  <si>
    <t>ايمان مؤيد حسن عباس</t>
  </si>
  <si>
    <t>ايمن محمد رزاق صالح</t>
  </si>
  <si>
    <t>ايناس ثائر حسين كاظم</t>
  </si>
  <si>
    <t>ايناس عبدالحسين محيل مهجر</t>
  </si>
  <si>
    <t>ايوب شمخي جابر حسب</t>
  </si>
  <si>
    <t>آيات كاظم جاسم محمد</t>
  </si>
  <si>
    <t xml:space="preserve">بتول عابدين حسين عيسى </t>
  </si>
  <si>
    <t xml:space="preserve"> صفحة 3 من 5</t>
  </si>
  <si>
    <t>بدر حسون صمان بصري</t>
  </si>
  <si>
    <t>بنين حليم حميد زهير</t>
  </si>
  <si>
    <t>بنين غانم بناي خضير</t>
  </si>
  <si>
    <t>تبارك خيون كاظم مبارك</t>
  </si>
  <si>
    <t xml:space="preserve">تبارك رضوان قاسم محمد
</t>
  </si>
  <si>
    <t>تقى علي حسين علي</t>
  </si>
  <si>
    <t>جلال وارد عبدالرضا رشم</t>
  </si>
  <si>
    <t>حسام شعيبث شناوة مصيرع</t>
  </si>
  <si>
    <t>حسين جميل عساف</t>
  </si>
  <si>
    <t xml:space="preserve">حسين رائد سبتي </t>
  </si>
  <si>
    <t xml:space="preserve"> صفحة 4 من 5</t>
  </si>
  <si>
    <t xml:space="preserve"> صفحة 5 من 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</si>
</sst>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textRotation="90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17</xdr:col>
      <xdr:colOff>123444</xdr:colOff>
      <xdr:row>3</xdr:row>
      <xdr:rowOff>47244</xdr:rowOff>
    </xdr:to>
    <xdr:pic>
      <xdr:nvPicPr>
        <xdr:cNvPr id="2" name="Picture 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0"/>
          <a:ext cx="618744" cy="6187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17</xdr:col>
      <xdr:colOff>123444</xdr:colOff>
      <xdr:row>53</xdr:row>
      <xdr:rowOff>47244</xdr:rowOff>
    </xdr:to>
    <xdr:pic>
      <xdr:nvPicPr>
        <xdr:cNvPr id="3" name="Picture 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9839325"/>
          <a:ext cx="618744" cy="6187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100</xdr:row>
      <xdr:rowOff>0</xdr:rowOff>
    </xdr:from>
    <xdr:to>
      <xdr:col>17</xdr:col>
      <xdr:colOff>123444</xdr:colOff>
      <xdr:row>103</xdr:row>
      <xdr:rowOff>47244</xdr:rowOff>
    </xdr:to>
    <xdr:pic>
      <xdr:nvPicPr>
        <xdr:cNvPr id="4" name="Picture 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19678650"/>
          <a:ext cx="618744" cy="6187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150</xdr:row>
      <xdr:rowOff>0</xdr:rowOff>
    </xdr:from>
    <xdr:to>
      <xdr:col>17</xdr:col>
      <xdr:colOff>123444</xdr:colOff>
      <xdr:row>153</xdr:row>
      <xdr:rowOff>47244</xdr:rowOff>
    </xdr:to>
    <xdr:pic>
      <xdr:nvPicPr>
        <xdr:cNvPr id="5" name="Picture 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29517975"/>
          <a:ext cx="618744" cy="6187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200</xdr:row>
      <xdr:rowOff>0</xdr:rowOff>
    </xdr:from>
    <xdr:to>
      <xdr:col>17</xdr:col>
      <xdr:colOff>123444</xdr:colOff>
      <xdr:row>203</xdr:row>
      <xdr:rowOff>47244</xdr:rowOff>
    </xdr:to>
    <xdr:pic>
      <xdr:nvPicPr>
        <xdr:cNvPr id="6" name="Picture 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39357300"/>
          <a:ext cx="618744" cy="618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0</xdr:row>
      <xdr:rowOff>47625</xdr:rowOff>
    </xdr:from>
    <xdr:to>
      <xdr:col>2</xdr:col>
      <xdr:colOff>771525</xdr:colOff>
      <xdr:row>3</xdr:row>
      <xdr:rowOff>9525</xdr:rowOff>
    </xdr:to>
    <xdr:pic>
      <xdr:nvPicPr>
        <xdr:cNvPr id="2" name="Picture 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47625</xdr:rowOff>
    </xdr:from>
    <xdr:to>
      <xdr:col>9</xdr:col>
      <xdr:colOff>771525</xdr:colOff>
      <xdr:row>3</xdr:row>
      <xdr:rowOff>9525</xdr:rowOff>
    </xdr:to>
    <xdr:pic>
      <xdr:nvPicPr>
        <xdr:cNvPr id="3" name="Picture 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47625</xdr:rowOff>
    </xdr:from>
    <xdr:to>
      <xdr:col>2</xdr:col>
      <xdr:colOff>771525</xdr:colOff>
      <xdr:row>33</xdr:row>
      <xdr:rowOff>9525</xdr:rowOff>
    </xdr:to>
    <xdr:pic>
      <xdr:nvPicPr>
        <xdr:cNvPr id="4" name="Picture 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</xdr:row>
      <xdr:rowOff>47625</xdr:rowOff>
    </xdr:from>
    <xdr:to>
      <xdr:col>9</xdr:col>
      <xdr:colOff>771525</xdr:colOff>
      <xdr:row>33</xdr:row>
      <xdr:rowOff>9525</xdr:rowOff>
    </xdr:to>
    <xdr:pic>
      <xdr:nvPicPr>
        <xdr:cNvPr id="5" name="Picture 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</xdr:row>
      <xdr:rowOff>47625</xdr:rowOff>
    </xdr:from>
    <xdr:to>
      <xdr:col>2</xdr:col>
      <xdr:colOff>771525</xdr:colOff>
      <xdr:row>63</xdr:row>
      <xdr:rowOff>9525</xdr:rowOff>
    </xdr:to>
    <xdr:pic>
      <xdr:nvPicPr>
        <xdr:cNvPr id="6" name="Picture 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</xdr:row>
      <xdr:rowOff>47625</xdr:rowOff>
    </xdr:from>
    <xdr:to>
      <xdr:col>9</xdr:col>
      <xdr:colOff>771525</xdr:colOff>
      <xdr:row>63</xdr:row>
      <xdr:rowOff>9525</xdr:rowOff>
    </xdr:to>
    <xdr:pic>
      <xdr:nvPicPr>
        <xdr:cNvPr id="7" name="Picture 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</xdr:row>
      <xdr:rowOff>47625</xdr:rowOff>
    </xdr:from>
    <xdr:to>
      <xdr:col>2</xdr:col>
      <xdr:colOff>771525</xdr:colOff>
      <xdr:row>93</xdr:row>
      <xdr:rowOff>9525</xdr:rowOff>
    </xdr:to>
    <xdr:pic>
      <xdr:nvPicPr>
        <xdr:cNvPr id="8" name="Picture 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</xdr:row>
      <xdr:rowOff>47625</xdr:rowOff>
    </xdr:from>
    <xdr:to>
      <xdr:col>9</xdr:col>
      <xdr:colOff>771525</xdr:colOff>
      <xdr:row>93</xdr:row>
      <xdr:rowOff>9525</xdr:rowOff>
    </xdr:to>
    <xdr:pic>
      <xdr:nvPicPr>
        <xdr:cNvPr id="9" name="Picture 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</xdr:row>
      <xdr:rowOff>47625</xdr:rowOff>
    </xdr:from>
    <xdr:to>
      <xdr:col>2</xdr:col>
      <xdr:colOff>771525</xdr:colOff>
      <xdr:row>123</xdr:row>
      <xdr:rowOff>9525</xdr:rowOff>
    </xdr:to>
    <xdr:pic>
      <xdr:nvPicPr>
        <xdr:cNvPr id="10" name="Picture 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</xdr:row>
      <xdr:rowOff>47625</xdr:rowOff>
    </xdr:from>
    <xdr:to>
      <xdr:col>9</xdr:col>
      <xdr:colOff>771525</xdr:colOff>
      <xdr:row>123</xdr:row>
      <xdr:rowOff>9525</xdr:rowOff>
    </xdr:to>
    <xdr:pic>
      <xdr:nvPicPr>
        <xdr:cNvPr id="11" name="Picture 1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150</xdr:row>
      <xdr:rowOff>47625</xdr:rowOff>
    </xdr:from>
    <xdr:to>
      <xdr:col>2</xdr:col>
      <xdr:colOff>771525</xdr:colOff>
      <xdr:row>153</xdr:row>
      <xdr:rowOff>9525</xdr:rowOff>
    </xdr:to>
    <xdr:pic>
      <xdr:nvPicPr>
        <xdr:cNvPr id="12" name="Picture 1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150</xdr:row>
      <xdr:rowOff>47625</xdr:rowOff>
    </xdr:from>
    <xdr:to>
      <xdr:col>9</xdr:col>
      <xdr:colOff>771525</xdr:colOff>
      <xdr:row>153</xdr:row>
      <xdr:rowOff>9525</xdr:rowOff>
    </xdr:to>
    <xdr:pic>
      <xdr:nvPicPr>
        <xdr:cNvPr id="13" name="Picture 1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180</xdr:row>
      <xdr:rowOff>47625</xdr:rowOff>
    </xdr:from>
    <xdr:to>
      <xdr:col>2</xdr:col>
      <xdr:colOff>771525</xdr:colOff>
      <xdr:row>183</xdr:row>
      <xdr:rowOff>9525</xdr:rowOff>
    </xdr:to>
    <xdr:pic>
      <xdr:nvPicPr>
        <xdr:cNvPr id="14" name="Picture 1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180</xdr:row>
      <xdr:rowOff>47625</xdr:rowOff>
    </xdr:from>
    <xdr:to>
      <xdr:col>9</xdr:col>
      <xdr:colOff>771525</xdr:colOff>
      <xdr:row>183</xdr:row>
      <xdr:rowOff>9525</xdr:rowOff>
    </xdr:to>
    <xdr:pic>
      <xdr:nvPicPr>
        <xdr:cNvPr id="15" name="Picture 1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210</xdr:row>
      <xdr:rowOff>47625</xdr:rowOff>
    </xdr:from>
    <xdr:to>
      <xdr:col>2</xdr:col>
      <xdr:colOff>771525</xdr:colOff>
      <xdr:row>213</xdr:row>
      <xdr:rowOff>9525</xdr:rowOff>
    </xdr:to>
    <xdr:pic>
      <xdr:nvPicPr>
        <xdr:cNvPr id="16" name="Picture 1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210</xdr:row>
      <xdr:rowOff>47625</xdr:rowOff>
    </xdr:from>
    <xdr:to>
      <xdr:col>9</xdr:col>
      <xdr:colOff>771525</xdr:colOff>
      <xdr:row>213</xdr:row>
      <xdr:rowOff>9525</xdr:rowOff>
    </xdr:to>
    <xdr:pic>
      <xdr:nvPicPr>
        <xdr:cNvPr id="17" name="Picture 1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240</xdr:row>
      <xdr:rowOff>47625</xdr:rowOff>
    </xdr:from>
    <xdr:to>
      <xdr:col>2</xdr:col>
      <xdr:colOff>771525</xdr:colOff>
      <xdr:row>243</xdr:row>
      <xdr:rowOff>9525</xdr:rowOff>
    </xdr:to>
    <xdr:pic>
      <xdr:nvPicPr>
        <xdr:cNvPr id="18" name="Picture 1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240</xdr:row>
      <xdr:rowOff>47625</xdr:rowOff>
    </xdr:from>
    <xdr:to>
      <xdr:col>9</xdr:col>
      <xdr:colOff>771525</xdr:colOff>
      <xdr:row>243</xdr:row>
      <xdr:rowOff>9525</xdr:rowOff>
    </xdr:to>
    <xdr:pic>
      <xdr:nvPicPr>
        <xdr:cNvPr id="19" name="Picture 1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270</xdr:row>
      <xdr:rowOff>47625</xdr:rowOff>
    </xdr:from>
    <xdr:to>
      <xdr:col>2</xdr:col>
      <xdr:colOff>771525</xdr:colOff>
      <xdr:row>273</xdr:row>
      <xdr:rowOff>9525</xdr:rowOff>
    </xdr:to>
    <xdr:pic>
      <xdr:nvPicPr>
        <xdr:cNvPr id="20" name="Picture 1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270</xdr:row>
      <xdr:rowOff>47625</xdr:rowOff>
    </xdr:from>
    <xdr:to>
      <xdr:col>9</xdr:col>
      <xdr:colOff>771525</xdr:colOff>
      <xdr:row>273</xdr:row>
      <xdr:rowOff>9525</xdr:rowOff>
    </xdr:to>
    <xdr:pic>
      <xdr:nvPicPr>
        <xdr:cNvPr id="21" name="Picture 2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300</xdr:row>
      <xdr:rowOff>47625</xdr:rowOff>
    </xdr:from>
    <xdr:to>
      <xdr:col>2</xdr:col>
      <xdr:colOff>771525</xdr:colOff>
      <xdr:row>303</xdr:row>
      <xdr:rowOff>9525</xdr:rowOff>
    </xdr:to>
    <xdr:pic>
      <xdr:nvPicPr>
        <xdr:cNvPr id="22" name="Picture 2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300</xdr:row>
      <xdr:rowOff>47625</xdr:rowOff>
    </xdr:from>
    <xdr:to>
      <xdr:col>9</xdr:col>
      <xdr:colOff>771525</xdr:colOff>
      <xdr:row>303</xdr:row>
      <xdr:rowOff>9525</xdr:rowOff>
    </xdr:to>
    <xdr:pic>
      <xdr:nvPicPr>
        <xdr:cNvPr id="23" name="Picture 2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330</xdr:row>
      <xdr:rowOff>47625</xdr:rowOff>
    </xdr:from>
    <xdr:to>
      <xdr:col>2</xdr:col>
      <xdr:colOff>771525</xdr:colOff>
      <xdr:row>333</xdr:row>
      <xdr:rowOff>9525</xdr:rowOff>
    </xdr:to>
    <xdr:pic>
      <xdr:nvPicPr>
        <xdr:cNvPr id="24" name="Picture 2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330</xdr:row>
      <xdr:rowOff>47625</xdr:rowOff>
    </xdr:from>
    <xdr:to>
      <xdr:col>9</xdr:col>
      <xdr:colOff>771525</xdr:colOff>
      <xdr:row>333</xdr:row>
      <xdr:rowOff>9525</xdr:rowOff>
    </xdr:to>
    <xdr:pic>
      <xdr:nvPicPr>
        <xdr:cNvPr id="25" name="Picture 2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360</xdr:row>
      <xdr:rowOff>47625</xdr:rowOff>
    </xdr:from>
    <xdr:to>
      <xdr:col>2</xdr:col>
      <xdr:colOff>771525</xdr:colOff>
      <xdr:row>363</xdr:row>
      <xdr:rowOff>9525</xdr:rowOff>
    </xdr:to>
    <xdr:pic>
      <xdr:nvPicPr>
        <xdr:cNvPr id="26" name="Picture 2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360</xdr:row>
      <xdr:rowOff>47625</xdr:rowOff>
    </xdr:from>
    <xdr:to>
      <xdr:col>9</xdr:col>
      <xdr:colOff>771525</xdr:colOff>
      <xdr:row>363</xdr:row>
      <xdr:rowOff>9525</xdr:rowOff>
    </xdr:to>
    <xdr:pic>
      <xdr:nvPicPr>
        <xdr:cNvPr id="27" name="Picture 2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390</xdr:row>
      <xdr:rowOff>47625</xdr:rowOff>
    </xdr:from>
    <xdr:to>
      <xdr:col>2</xdr:col>
      <xdr:colOff>771525</xdr:colOff>
      <xdr:row>393</xdr:row>
      <xdr:rowOff>9525</xdr:rowOff>
    </xdr:to>
    <xdr:pic>
      <xdr:nvPicPr>
        <xdr:cNvPr id="28" name="Picture 2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390</xdr:row>
      <xdr:rowOff>47625</xdr:rowOff>
    </xdr:from>
    <xdr:to>
      <xdr:col>9</xdr:col>
      <xdr:colOff>771525</xdr:colOff>
      <xdr:row>393</xdr:row>
      <xdr:rowOff>9525</xdr:rowOff>
    </xdr:to>
    <xdr:pic>
      <xdr:nvPicPr>
        <xdr:cNvPr id="29" name="Picture 2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420</xdr:row>
      <xdr:rowOff>47625</xdr:rowOff>
    </xdr:from>
    <xdr:to>
      <xdr:col>2</xdr:col>
      <xdr:colOff>771525</xdr:colOff>
      <xdr:row>423</xdr:row>
      <xdr:rowOff>9525</xdr:rowOff>
    </xdr:to>
    <xdr:pic>
      <xdr:nvPicPr>
        <xdr:cNvPr id="30" name="Picture 2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420</xdr:row>
      <xdr:rowOff>47625</xdr:rowOff>
    </xdr:from>
    <xdr:to>
      <xdr:col>9</xdr:col>
      <xdr:colOff>771525</xdr:colOff>
      <xdr:row>423</xdr:row>
      <xdr:rowOff>9525</xdr:rowOff>
    </xdr:to>
    <xdr:pic>
      <xdr:nvPicPr>
        <xdr:cNvPr id="31" name="Picture 3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450</xdr:row>
      <xdr:rowOff>47625</xdr:rowOff>
    </xdr:from>
    <xdr:to>
      <xdr:col>2</xdr:col>
      <xdr:colOff>771525</xdr:colOff>
      <xdr:row>453</xdr:row>
      <xdr:rowOff>9525</xdr:rowOff>
    </xdr:to>
    <xdr:pic>
      <xdr:nvPicPr>
        <xdr:cNvPr id="32" name="Picture 3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450</xdr:row>
      <xdr:rowOff>47625</xdr:rowOff>
    </xdr:from>
    <xdr:to>
      <xdr:col>9</xdr:col>
      <xdr:colOff>771525</xdr:colOff>
      <xdr:row>453</xdr:row>
      <xdr:rowOff>9525</xdr:rowOff>
    </xdr:to>
    <xdr:pic>
      <xdr:nvPicPr>
        <xdr:cNvPr id="33" name="Picture 3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480</xdr:row>
      <xdr:rowOff>47625</xdr:rowOff>
    </xdr:from>
    <xdr:to>
      <xdr:col>2</xdr:col>
      <xdr:colOff>771525</xdr:colOff>
      <xdr:row>483</xdr:row>
      <xdr:rowOff>9525</xdr:rowOff>
    </xdr:to>
    <xdr:pic>
      <xdr:nvPicPr>
        <xdr:cNvPr id="34" name="Picture 3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480</xdr:row>
      <xdr:rowOff>47625</xdr:rowOff>
    </xdr:from>
    <xdr:to>
      <xdr:col>9</xdr:col>
      <xdr:colOff>771525</xdr:colOff>
      <xdr:row>483</xdr:row>
      <xdr:rowOff>9525</xdr:rowOff>
    </xdr:to>
    <xdr:pic>
      <xdr:nvPicPr>
        <xdr:cNvPr id="35" name="Picture 3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510</xdr:row>
      <xdr:rowOff>47625</xdr:rowOff>
    </xdr:from>
    <xdr:to>
      <xdr:col>2</xdr:col>
      <xdr:colOff>771525</xdr:colOff>
      <xdr:row>513</xdr:row>
      <xdr:rowOff>9525</xdr:rowOff>
    </xdr:to>
    <xdr:pic>
      <xdr:nvPicPr>
        <xdr:cNvPr id="36" name="Picture 3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510</xdr:row>
      <xdr:rowOff>47625</xdr:rowOff>
    </xdr:from>
    <xdr:to>
      <xdr:col>9</xdr:col>
      <xdr:colOff>771525</xdr:colOff>
      <xdr:row>513</xdr:row>
      <xdr:rowOff>9525</xdr:rowOff>
    </xdr:to>
    <xdr:pic>
      <xdr:nvPicPr>
        <xdr:cNvPr id="37" name="Picture 3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540</xdr:row>
      <xdr:rowOff>47625</xdr:rowOff>
    </xdr:from>
    <xdr:to>
      <xdr:col>2</xdr:col>
      <xdr:colOff>771525</xdr:colOff>
      <xdr:row>543</xdr:row>
      <xdr:rowOff>9525</xdr:rowOff>
    </xdr:to>
    <xdr:pic>
      <xdr:nvPicPr>
        <xdr:cNvPr id="38" name="Picture 3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540</xdr:row>
      <xdr:rowOff>47625</xdr:rowOff>
    </xdr:from>
    <xdr:to>
      <xdr:col>9</xdr:col>
      <xdr:colOff>771525</xdr:colOff>
      <xdr:row>543</xdr:row>
      <xdr:rowOff>9525</xdr:rowOff>
    </xdr:to>
    <xdr:pic>
      <xdr:nvPicPr>
        <xdr:cNvPr id="39" name="Picture 3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570</xdr:row>
      <xdr:rowOff>47625</xdr:rowOff>
    </xdr:from>
    <xdr:to>
      <xdr:col>2</xdr:col>
      <xdr:colOff>771525</xdr:colOff>
      <xdr:row>573</xdr:row>
      <xdr:rowOff>9525</xdr:rowOff>
    </xdr:to>
    <xdr:pic>
      <xdr:nvPicPr>
        <xdr:cNvPr id="40" name="Picture 3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570</xdr:row>
      <xdr:rowOff>47625</xdr:rowOff>
    </xdr:from>
    <xdr:to>
      <xdr:col>9</xdr:col>
      <xdr:colOff>771525</xdr:colOff>
      <xdr:row>573</xdr:row>
      <xdr:rowOff>9525</xdr:rowOff>
    </xdr:to>
    <xdr:pic>
      <xdr:nvPicPr>
        <xdr:cNvPr id="41" name="Picture 4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600</xdr:row>
      <xdr:rowOff>47625</xdr:rowOff>
    </xdr:from>
    <xdr:to>
      <xdr:col>2</xdr:col>
      <xdr:colOff>771525</xdr:colOff>
      <xdr:row>603</xdr:row>
      <xdr:rowOff>9525</xdr:rowOff>
    </xdr:to>
    <xdr:pic>
      <xdr:nvPicPr>
        <xdr:cNvPr id="42" name="Picture 4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600</xdr:row>
      <xdr:rowOff>47625</xdr:rowOff>
    </xdr:from>
    <xdr:to>
      <xdr:col>9</xdr:col>
      <xdr:colOff>771525</xdr:colOff>
      <xdr:row>603</xdr:row>
      <xdr:rowOff>9525</xdr:rowOff>
    </xdr:to>
    <xdr:pic>
      <xdr:nvPicPr>
        <xdr:cNvPr id="43" name="Picture 4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630</xdr:row>
      <xdr:rowOff>47625</xdr:rowOff>
    </xdr:from>
    <xdr:to>
      <xdr:col>2</xdr:col>
      <xdr:colOff>771525</xdr:colOff>
      <xdr:row>633</xdr:row>
      <xdr:rowOff>9525</xdr:rowOff>
    </xdr:to>
    <xdr:pic>
      <xdr:nvPicPr>
        <xdr:cNvPr id="44" name="Picture 4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630</xdr:row>
      <xdr:rowOff>47625</xdr:rowOff>
    </xdr:from>
    <xdr:to>
      <xdr:col>9</xdr:col>
      <xdr:colOff>771525</xdr:colOff>
      <xdr:row>633</xdr:row>
      <xdr:rowOff>9525</xdr:rowOff>
    </xdr:to>
    <xdr:pic>
      <xdr:nvPicPr>
        <xdr:cNvPr id="45" name="Picture 4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660</xdr:row>
      <xdr:rowOff>47625</xdr:rowOff>
    </xdr:from>
    <xdr:to>
      <xdr:col>2</xdr:col>
      <xdr:colOff>771525</xdr:colOff>
      <xdr:row>663</xdr:row>
      <xdr:rowOff>9525</xdr:rowOff>
    </xdr:to>
    <xdr:pic>
      <xdr:nvPicPr>
        <xdr:cNvPr id="46" name="Picture 4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660</xdr:row>
      <xdr:rowOff>47625</xdr:rowOff>
    </xdr:from>
    <xdr:to>
      <xdr:col>9</xdr:col>
      <xdr:colOff>771525</xdr:colOff>
      <xdr:row>663</xdr:row>
      <xdr:rowOff>9525</xdr:rowOff>
    </xdr:to>
    <xdr:pic>
      <xdr:nvPicPr>
        <xdr:cNvPr id="47" name="Picture 4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690</xdr:row>
      <xdr:rowOff>47625</xdr:rowOff>
    </xdr:from>
    <xdr:to>
      <xdr:col>2</xdr:col>
      <xdr:colOff>771525</xdr:colOff>
      <xdr:row>693</xdr:row>
      <xdr:rowOff>9525</xdr:rowOff>
    </xdr:to>
    <xdr:pic>
      <xdr:nvPicPr>
        <xdr:cNvPr id="48" name="Picture 4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690</xdr:row>
      <xdr:rowOff>47625</xdr:rowOff>
    </xdr:from>
    <xdr:to>
      <xdr:col>9</xdr:col>
      <xdr:colOff>771525</xdr:colOff>
      <xdr:row>693</xdr:row>
      <xdr:rowOff>9525</xdr:rowOff>
    </xdr:to>
    <xdr:pic>
      <xdr:nvPicPr>
        <xdr:cNvPr id="49" name="Picture 4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720</xdr:row>
      <xdr:rowOff>47625</xdr:rowOff>
    </xdr:from>
    <xdr:to>
      <xdr:col>2</xdr:col>
      <xdr:colOff>771525</xdr:colOff>
      <xdr:row>723</xdr:row>
      <xdr:rowOff>9525</xdr:rowOff>
    </xdr:to>
    <xdr:pic>
      <xdr:nvPicPr>
        <xdr:cNvPr id="50" name="Picture 4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720</xdr:row>
      <xdr:rowOff>47625</xdr:rowOff>
    </xdr:from>
    <xdr:to>
      <xdr:col>9</xdr:col>
      <xdr:colOff>771525</xdr:colOff>
      <xdr:row>723</xdr:row>
      <xdr:rowOff>9525</xdr:rowOff>
    </xdr:to>
    <xdr:pic>
      <xdr:nvPicPr>
        <xdr:cNvPr id="51" name="Picture 5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750</xdr:row>
      <xdr:rowOff>47625</xdr:rowOff>
    </xdr:from>
    <xdr:to>
      <xdr:col>2</xdr:col>
      <xdr:colOff>771525</xdr:colOff>
      <xdr:row>753</xdr:row>
      <xdr:rowOff>9525</xdr:rowOff>
    </xdr:to>
    <xdr:pic>
      <xdr:nvPicPr>
        <xdr:cNvPr id="52" name="Picture 5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750</xdr:row>
      <xdr:rowOff>47625</xdr:rowOff>
    </xdr:from>
    <xdr:to>
      <xdr:col>9</xdr:col>
      <xdr:colOff>771525</xdr:colOff>
      <xdr:row>753</xdr:row>
      <xdr:rowOff>9525</xdr:rowOff>
    </xdr:to>
    <xdr:pic>
      <xdr:nvPicPr>
        <xdr:cNvPr id="53" name="Picture 5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780</xdr:row>
      <xdr:rowOff>47625</xdr:rowOff>
    </xdr:from>
    <xdr:to>
      <xdr:col>2</xdr:col>
      <xdr:colOff>771525</xdr:colOff>
      <xdr:row>783</xdr:row>
      <xdr:rowOff>9525</xdr:rowOff>
    </xdr:to>
    <xdr:pic>
      <xdr:nvPicPr>
        <xdr:cNvPr id="54" name="Picture 5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780</xdr:row>
      <xdr:rowOff>47625</xdr:rowOff>
    </xdr:from>
    <xdr:to>
      <xdr:col>9</xdr:col>
      <xdr:colOff>771525</xdr:colOff>
      <xdr:row>783</xdr:row>
      <xdr:rowOff>9525</xdr:rowOff>
    </xdr:to>
    <xdr:pic>
      <xdr:nvPicPr>
        <xdr:cNvPr id="55" name="Picture 5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810</xdr:row>
      <xdr:rowOff>47625</xdr:rowOff>
    </xdr:from>
    <xdr:to>
      <xdr:col>2</xdr:col>
      <xdr:colOff>771525</xdr:colOff>
      <xdr:row>813</xdr:row>
      <xdr:rowOff>9525</xdr:rowOff>
    </xdr:to>
    <xdr:pic>
      <xdr:nvPicPr>
        <xdr:cNvPr id="56" name="Picture 5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810</xdr:row>
      <xdr:rowOff>47625</xdr:rowOff>
    </xdr:from>
    <xdr:to>
      <xdr:col>9</xdr:col>
      <xdr:colOff>771525</xdr:colOff>
      <xdr:row>813</xdr:row>
      <xdr:rowOff>9525</xdr:rowOff>
    </xdr:to>
    <xdr:pic>
      <xdr:nvPicPr>
        <xdr:cNvPr id="57" name="Picture 5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840</xdr:row>
      <xdr:rowOff>47625</xdr:rowOff>
    </xdr:from>
    <xdr:to>
      <xdr:col>2</xdr:col>
      <xdr:colOff>771525</xdr:colOff>
      <xdr:row>843</xdr:row>
      <xdr:rowOff>9525</xdr:rowOff>
    </xdr:to>
    <xdr:pic>
      <xdr:nvPicPr>
        <xdr:cNvPr id="58" name="Picture 5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840</xdr:row>
      <xdr:rowOff>47625</xdr:rowOff>
    </xdr:from>
    <xdr:to>
      <xdr:col>9</xdr:col>
      <xdr:colOff>771525</xdr:colOff>
      <xdr:row>843</xdr:row>
      <xdr:rowOff>9525</xdr:rowOff>
    </xdr:to>
    <xdr:pic>
      <xdr:nvPicPr>
        <xdr:cNvPr id="59" name="Picture 5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870</xdr:row>
      <xdr:rowOff>47625</xdr:rowOff>
    </xdr:from>
    <xdr:to>
      <xdr:col>2</xdr:col>
      <xdr:colOff>771525</xdr:colOff>
      <xdr:row>873</xdr:row>
      <xdr:rowOff>9525</xdr:rowOff>
    </xdr:to>
    <xdr:pic>
      <xdr:nvPicPr>
        <xdr:cNvPr id="60" name="Picture 5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870</xdr:row>
      <xdr:rowOff>47625</xdr:rowOff>
    </xdr:from>
    <xdr:to>
      <xdr:col>9</xdr:col>
      <xdr:colOff>771525</xdr:colOff>
      <xdr:row>873</xdr:row>
      <xdr:rowOff>9525</xdr:rowOff>
    </xdr:to>
    <xdr:pic>
      <xdr:nvPicPr>
        <xdr:cNvPr id="61" name="Picture 6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900</xdr:row>
      <xdr:rowOff>47625</xdr:rowOff>
    </xdr:from>
    <xdr:to>
      <xdr:col>2</xdr:col>
      <xdr:colOff>771525</xdr:colOff>
      <xdr:row>903</xdr:row>
      <xdr:rowOff>9525</xdr:rowOff>
    </xdr:to>
    <xdr:pic>
      <xdr:nvPicPr>
        <xdr:cNvPr id="62" name="Picture 6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900</xdr:row>
      <xdr:rowOff>47625</xdr:rowOff>
    </xdr:from>
    <xdr:to>
      <xdr:col>9</xdr:col>
      <xdr:colOff>771525</xdr:colOff>
      <xdr:row>903</xdr:row>
      <xdr:rowOff>9525</xdr:rowOff>
    </xdr:to>
    <xdr:pic>
      <xdr:nvPicPr>
        <xdr:cNvPr id="63" name="Picture 6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930</xdr:row>
      <xdr:rowOff>47625</xdr:rowOff>
    </xdr:from>
    <xdr:to>
      <xdr:col>2</xdr:col>
      <xdr:colOff>771525</xdr:colOff>
      <xdr:row>933</xdr:row>
      <xdr:rowOff>9525</xdr:rowOff>
    </xdr:to>
    <xdr:pic>
      <xdr:nvPicPr>
        <xdr:cNvPr id="64" name="Picture 6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930</xdr:row>
      <xdr:rowOff>47625</xdr:rowOff>
    </xdr:from>
    <xdr:to>
      <xdr:col>9</xdr:col>
      <xdr:colOff>771525</xdr:colOff>
      <xdr:row>933</xdr:row>
      <xdr:rowOff>9525</xdr:rowOff>
    </xdr:to>
    <xdr:pic>
      <xdr:nvPicPr>
        <xdr:cNvPr id="65" name="Picture 6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960</xdr:row>
      <xdr:rowOff>47625</xdr:rowOff>
    </xdr:from>
    <xdr:to>
      <xdr:col>2</xdr:col>
      <xdr:colOff>771525</xdr:colOff>
      <xdr:row>963</xdr:row>
      <xdr:rowOff>9525</xdr:rowOff>
    </xdr:to>
    <xdr:pic>
      <xdr:nvPicPr>
        <xdr:cNvPr id="66" name="Picture 6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960</xdr:row>
      <xdr:rowOff>47625</xdr:rowOff>
    </xdr:from>
    <xdr:to>
      <xdr:col>9</xdr:col>
      <xdr:colOff>771525</xdr:colOff>
      <xdr:row>963</xdr:row>
      <xdr:rowOff>9525</xdr:rowOff>
    </xdr:to>
    <xdr:pic>
      <xdr:nvPicPr>
        <xdr:cNvPr id="67" name="Picture 6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990</xdr:row>
      <xdr:rowOff>47625</xdr:rowOff>
    </xdr:from>
    <xdr:to>
      <xdr:col>2</xdr:col>
      <xdr:colOff>771525</xdr:colOff>
      <xdr:row>993</xdr:row>
      <xdr:rowOff>9525</xdr:rowOff>
    </xdr:to>
    <xdr:pic>
      <xdr:nvPicPr>
        <xdr:cNvPr id="68" name="Picture 6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990</xdr:row>
      <xdr:rowOff>47625</xdr:rowOff>
    </xdr:from>
    <xdr:to>
      <xdr:col>9</xdr:col>
      <xdr:colOff>771525</xdr:colOff>
      <xdr:row>993</xdr:row>
      <xdr:rowOff>9525</xdr:rowOff>
    </xdr:to>
    <xdr:pic>
      <xdr:nvPicPr>
        <xdr:cNvPr id="69" name="Picture 6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1020</xdr:row>
      <xdr:rowOff>47625</xdr:rowOff>
    </xdr:from>
    <xdr:to>
      <xdr:col>2</xdr:col>
      <xdr:colOff>771525</xdr:colOff>
      <xdr:row>1023</xdr:row>
      <xdr:rowOff>9525</xdr:rowOff>
    </xdr:to>
    <xdr:pic>
      <xdr:nvPicPr>
        <xdr:cNvPr id="70" name="Picture 6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1020</xdr:row>
      <xdr:rowOff>47625</xdr:rowOff>
    </xdr:from>
    <xdr:to>
      <xdr:col>9</xdr:col>
      <xdr:colOff>771525</xdr:colOff>
      <xdr:row>1023</xdr:row>
      <xdr:rowOff>9525</xdr:rowOff>
    </xdr:to>
    <xdr:pic>
      <xdr:nvPicPr>
        <xdr:cNvPr id="71" name="Picture 7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1050</xdr:row>
      <xdr:rowOff>47625</xdr:rowOff>
    </xdr:from>
    <xdr:to>
      <xdr:col>2</xdr:col>
      <xdr:colOff>771525</xdr:colOff>
      <xdr:row>1053</xdr:row>
      <xdr:rowOff>9525</xdr:rowOff>
    </xdr:to>
    <xdr:pic>
      <xdr:nvPicPr>
        <xdr:cNvPr id="72" name="Picture 7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1050</xdr:row>
      <xdr:rowOff>47625</xdr:rowOff>
    </xdr:from>
    <xdr:to>
      <xdr:col>9</xdr:col>
      <xdr:colOff>771525</xdr:colOff>
      <xdr:row>1053</xdr:row>
      <xdr:rowOff>9525</xdr:rowOff>
    </xdr:to>
    <xdr:pic>
      <xdr:nvPicPr>
        <xdr:cNvPr id="73" name="Picture 7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1080</xdr:row>
      <xdr:rowOff>47625</xdr:rowOff>
    </xdr:from>
    <xdr:to>
      <xdr:col>2</xdr:col>
      <xdr:colOff>771525</xdr:colOff>
      <xdr:row>1083</xdr:row>
      <xdr:rowOff>9525</xdr:rowOff>
    </xdr:to>
    <xdr:pic>
      <xdr:nvPicPr>
        <xdr:cNvPr id="74" name="Picture 7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1080</xdr:row>
      <xdr:rowOff>47625</xdr:rowOff>
    </xdr:from>
    <xdr:to>
      <xdr:col>9</xdr:col>
      <xdr:colOff>771525</xdr:colOff>
      <xdr:row>1083</xdr:row>
      <xdr:rowOff>9525</xdr:rowOff>
    </xdr:to>
    <xdr:pic>
      <xdr:nvPicPr>
        <xdr:cNvPr id="75" name="Picture 7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1110</xdr:row>
      <xdr:rowOff>47625</xdr:rowOff>
    </xdr:from>
    <xdr:to>
      <xdr:col>2</xdr:col>
      <xdr:colOff>771525</xdr:colOff>
      <xdr:row>1113</xdr:row>
      <xdr:rowOff>9525</xdr:rowOff>
    </xdr:to>
    <xdr:pic>
      <xdr:nvPicPr>
        <xdr:cNvPr id="76" name="Picture 7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1110</xdr:row>
      <xdr:rowOff>47625</xdr:rowOff>
    </xdr:from>
    <xdr:to>
      <xdr:col>9</xdr:col>
      <xdr:colOff>771525</xdr:colOff>
      <xdr:row>1113</xdr:row>
      <xdr:rowOff>9525</xdr:rowOff>
    </xdr:to>
    <xdr:pic>
      <xdr:nvPicPr>
        <xdr:cNvPr id="77" name="Picture 7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1140</xdr:row>
      <xdr:rowOff>47625</xdr:rowOff>
    </xdr:from>
    <xdr:to>
      <xdr:col>2</xdr:col>
      <xdr:colOff>771525</xdr:colOff>
      <xdr:row>1143</xdr:row>
      <xdr:rowOff>9525</xdr:rowOff>
    </xdr:to>
    <xdr:pic>
      <xdr:nvPicPr>
        <xdr:cNvPr id="78" name="Picture 7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1140</xdr:row>
      <xdr:rowOff>47625</xdr:rowOff>
    </xdr:from>
    <xdr:to>
      <xdr:col>9</xdr:col>
      <xdr:colOff>771525</xdr:colOff>
      <xdr:row>1143</xdr:row>
      <xdr:rowOff>9525</xdr:rowOff>
    </xdr:to>
    <xdr:pic>
      <xdr:nvPicPr>
        <xdr:cNvPr id="79" name="Picture 7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1170</xdr:row>
      <xdr:rowOff>47625</xdr:rowOff>
    </xdr:from>
    <xdr:to>
      <xdr:col>2</xdr:col>
      <xdr:colOff>771525</xdr:colOff>
      <xdr:row>1173</xdr:row>
      <xdr:rowOff>9525</xdr:rowOff>
    </xdr:to>
    <xdr:pic>
      <xdr:nvPicPr>
        <xdr:cNvPr id="80" name="Picture 7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1170</xdr:row>
      <xdr:rowOff>47625</xdr:rowOff>
    </xdr:from>
    <xdr:to>
      <xdr:col>9</xdr:col>
      <xdr:colOff>771525</xdr:colOff>
      <xdr:row>1173</xdr:row>
      <xdr:rowOff>9525</xdr:rowOff>
    </xdr:to>
    <xdr:pic>
      <xdr:nvPicPr>
        <xdr:cNvPr id="81" name="Picture 8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1200</xdr:row>
      <xdr:rowOff>47625</xdr:rowOff>
    </xdr:from>
    <xdr:to>
      <xdr:col>2</xdr:col>
      <xdr:colOff>771525</xdr:colOff>
      <xdr:row>1203</xdr:row>
      <xdr:rowOff>9525</xdr:rowOff>
    </xdr:to>
    <xdr:pic>
      <xdr:nvPicPr>
        <xdr:cNvPr id="82" name="Picture 8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1200</xdr:row>
      <xdr:rowOff>47625</xdr:rowOff>
    </xdr:from>
    <xdr:to>
      <xdr:col>9</xdr:col>
      <xdr:colOff>771525</xdr:colOff>
      <xdr:row>1203</xdr:row>
      <xdr:rowOff>9525</xdr:rowOff>
    </xdr:to>
    <xdr:pic>
      <xdr:nvPicPr>
        <xdr:cNvPr id="83" name="Picture 8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1230</xdr:row>
      <xdr:rowOff>47625</xdr:rowOff>
    </xdr:from>
    <xdr:to>
      <xdr:col>2</xdr:col>
      <xdr:colOff>771525</xdr:colOff>
      <xdr:row>1233</xdr:row>
      <xdr:rowOff>9525</xdr:rowOff>
    </xdr:to>
    <xdr:pic>
      <xdr:nvPicPr>
        <xdr:cNvPr id="84" name="Picture 8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1230</xdr:row>
      <xdr:rowOff>47625</xdr:rowOff>
    </xdr:from>
    <xdr:to>
      <xdr:col>9</xdr:col>
      <xdr:colOff>771525</xdr:colOff>
      <xdr:row>1233</xdr:row>
      <xdr:rowOff>9525</xdr:rowOff>
    </xdr:to>
    <xdr:pic>
      <xdr:nvPicPr>
        <xdr:cNvPr id="85" name="Picture 8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1260</xdr:row>
      <xdr:rowOff>47625</xdr:rowOff>
    </xdr:from>
    <xdr:to>
      <xdr:col>2</xdr:col>
      <xdr:colOff>771525</xdr:colOff>
      <xdr:row>1263</xdr:row>
      <xdr:rowOff>9525</xdr:rowOff>
    </xdr:to>
    <xdr:pic>
      <xdr:nvPicPr>
        <xdr:cNvPr id="86" name="Picture 8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1260</xdr:row>
      <xdr:rowOff>47625</xdr:rowOff>
    </xdr:from>
    <xdr:to>
      <xdr:col>9</xdr:col>
      <xdr:colOff>771525</xdr:colOff>
      <xdr:row>1263</xdr:row>
      <xdr:rowOff>9525</xdr:rowOff>
    </xdr:to>
    <xdr:pic>
      <xdr:nvPicPr>
        <xdr:cNvPr id="87" name="Picture 8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1290</xdr:row>
      <xdr:rowOff>47625</xdr:rowOff>
    </xdr:from>
    <xdr:to>
      <xdr:col>2</xdr:col>
      <xdr:colOff>771525</xdr:colOff>
      <xdr:row>1293</xdr:row>
      <xdr:rowOff>9525</xdr:rowOff>
    </xdr:to>
    <xdr:pic>
      <xdr:nvPicPr>
        <xdr:cNvPr id="88" name="Picture 8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1290</xdr:row>
      <xdr:rowOff>47625</xdr:rowOff>
    </xdr:from>
    <xdr:to>
      <xdr:col>9</xdr:col>
      <xdr:colOff>771525</xdr:colOff>
      <xdr:row>1293</xdr:row>
      <xdr:rowOff>9525</xdr:rowOff>
    </xdr:to>
    <xdr:pic>
      <xdr:nvPicPr>
        <xdr:cNvPr id="89" name="Picture 8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1320</xdr:row>
      <xdr:rowOff>47625</xdr:rowOff>
    </xdr:from>
    <xdr:to>
      <xdr:col>2</xdr:col>
      <xdr:colOff>771525</xdr:colOff>
      <xdr:row>1323</xdr:row>
      <xdr:rowOff>9525</xdr:rowOff>
    </xdr:to>
    <xdr:pic>
      <xdr:nvPicPr>
        <xdr:cNvPr id="90" name="Picture 8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1320</xdr:row>
      <xdr:rowOff>47625</xdr:rowOff>
    </xdr:from>
    <xdr:to>
      <xdr:col>9</xdr:col>
      <xdr:colOff>771525</xdr:colOff>
      <xdr:row>1323</xdr:row>
      <xdr:rowOff>9525</xdr:rowOff>
    </xdr:to>
    <xdr:pic>
      <xdr:nvPicPr>
        <xdr:cNvPr id="91" name="Picture 9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1350</xdr:row>
      <xdr:rowOff>47625</xdr:rowOff>
    </xdr:from>
    <xdr:to>
      <xdr:col>2</xdr:col>
      <xdr:colOff>771525</xdr:colOff>
      <xdr:row>1353</xdr:row>
      <xdr:rowOff>9525</xdr:rowOff>
    </xdr:to>
    <xdr:pic>
      <xdr:nvPicPr>
        <xdr:cNvPr id="92" name="Picture 9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1350</xdr:row>
      <xdr:rowOff>47625</xdr:rowOff>
    </xdr:from>
    <xdr:to>
      <xdr:col>9</xdr:col>
      <xdr:colOff>771525</xdr:colOff>
      <xdr:row>1353</xdr:row>
      <xdr:rowOff>9525</xdr:rowOff>
    </xdr:to>
    <xdr:pic>
      <xdr:nvPicPr>
        <xdr:cNvPr id="93" name="Picture 9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1380</xdr:row>
      <xdr:rowOff>47625</xdr:rowOff>
    </xdr:from>
    <xdr:to>
      <xdr:col>2</xdr:col>
      <xdr:colOff>771525</xdr:colOff>
      <xdr:row>1383</xdr:row>
      <xdr:rowOff>9525</xdr:rowOff>
    </xdr:to>
    <xdr:pic>
      <xdr:nvPicPr>
        <xdr:cNvPr id="94" name="Picture 9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1380</xdr:row>
      <xdr:rowOff>47625</xdr:rowOff>
    </xdr:from>
    <xdr:to>
      <xdr:col>9</xdr:col>
      <xdr:colOff>771525</xdr:colOff>
      <xdr:row>1383</xdr:row>
      <xdr:rowOff>9525</xdr:rowOff>
    </xdr:to>
    <xdr:pic>
      <xdr:nvPicPr>
        <xdr:cNvPr id="95" name="Picture 9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1410</xdr:row>
      <xdr:rowOff>47625</xdr:rowOff>
    </xdr:from>
    <xdr:to>
      <xdr:col>2</xdr:col>
      <xdr:colOff>771525</xdr:colOff>
      <xdr:row>1413</xdr:row>
      <xdr:rowOff>9525</xdr:rowOff>
    </xdr:to>
    <xdr:pic>
      <xdr:nvPicPr>
        <xdr:cNvPr id="96" name="Picture 9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1410</xdr:row>
      <xdr:rowOff>47625</xdr:rowOff>
    </xdr:from>
    <xdr:to>
      <xdr:col>9</xdr:col>
      <xdr:colOff>771525</xdr:colOff>
      <xdr:row>1413</xdr:row>
      <xdr:rowOff>9525</xdr:rowOff>
    </xdr:to>
    <xdr:pic>
      <xdr:nvPicPr>
        <xdr:cNvPr id="97" name="Picture 9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1440</xdr:row>
      <xdr:rowOff>47625</xdr:rowOff>
    </xdr:from>
    <xdr:to>
      <xdr:col>2</xdr:col>
      <xdr:colOff>771525</xdr:colOff>
      <xdr:row>1443</xdr:row>
      <xdr:rowOff>9525</xdr:rowOff>
    </xdr:to>
    <xdr:pic>
      <xdr:nvPicPr>
        <xdr:cNvPr id="98" name="Picture 9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1440</xdr:row>
      <xdr:rowOff>47625</xdr:rowOff>
    </xdr:from>
    <xdr:to>
      <xdr:col>9</xdr:col>
      <xdr:colOff>771525</xdr:colOff>
      <xdr:row>1443</xdr:row>
      <xdr:rowOff>9525</xdr:rowOff>
    </xdr:to>
    <xdr:pic>
      <xdr:nvPicPr>
        <xdr:cNvPr id="99" name="Picture 9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1470</xdr:row>
      <xdr:rowOff>47625</xdr:rowOff>
    </xdr:from>
    <xdr:to>
      <xdr:col>2</xdr:col>
      <xdr:colOff>771525</xdr:colOff>
      <xdr:row>1473</xdr:row>
      <xdr:rowOff>9525</xdr:rowOff>
    </xdr:to>
    <xdr:pic>
      <xdr:nvPicPr>
        <xdr:cNvPr id="100" name="Picture 9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1470</xdr:row>
      <xdr:rowOff>47625</xdr:rowOff>
    </xdr:from>
    <xdr:to>
      <xdr:col>9</xdr:col>
      <xdr:colOff>771525</xdr:colOff>
      <xdr:row>1473</xdr:row>
      <xdr:rowOff>9525</xdr:rowOff>
    </xdr:to>
    <xdr:pic>
      <xdr:nvPicPr>
        <xdr:cNvPr id="101" name="Picture 10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0</xdr:row>
      <xdr:rowOff>47625</xdr:rowOff>
    </xdr:from>
    <xdr:to>
      <xdr:col>2</xdr:col>
      <xdr:colOff>771525</xdr:colOff>
      <xdr:row>3</xdr:row>
      <xdr:rowOff>9525</xdr:rowOff>
    </xdr:to>
    <xdr:pic>
      <xdr:nvPicPr>
        <xdr:cNvPr id="102" name="Picture 10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47625</xdr:rowOff>
    </xdr:from>
    <xdr:to>
      <xdr:col>9</xdr:col>
      <xdr:colOff>771525</xdr:colOff>
      <xdr:row>3</xdr:row>
      <xdr:rowOff>9525</xdr:rowOff>
    </xdr:to>
    <xdr:pic>
      <xdr:nvPicPr>
        <xdr:cNvPr id="103" name="Picture 10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47625</xdr:rowOff>
    </xdr:from>
    <xdr:to>
      <xdr:col>2</xdr:col>
      <xdr:colOff>771525</xdr:colOff>
      <xdr:row>33</xdr:row>
      <xdr:rowOff>9525</xdr:rowOff>
    </xdr:to>
    <xdr:pic>
      <xdr:nvPicPr>
        <xdr:cNvPr id="104" name="Picture 10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</xdr:row>
      <xdr:rowOff>47625</xdr:rowOff>
    </xdr:from>
    <xdr:to>
      <xdr:col>9</xdr:col>
      <xdr:colOff>771525</xdr:colOff>
      <xdr:row>33</xdr:row>
      <xdr:rowOff>9525</xdr:rowOff>
    </xdr:to>
    <xdr:pic>
      <xdr:nvPicPr>
        <xdr:cNvPr id="105" name="Picture 10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</xdr:row>
      <xdr:rowOff>47625</xdr:rowOff>
    </xdr:from>
    <xdr:to>
      <xdr:col>2</xdr:col>
      <xdr:colOff>771525</xdr:colOff>
      <xdr:row>63</xdr:row>
      <xdr:rowOff>9525</xdr:rowOff>
    </xdr:to>
    <xdr:pic>
      <xdr:nvPicPr>
        <xdr:cNvPr id="106" name="Picture 10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</xdr:row>
      <xdr:rowOff>47625</xdr:rowOff>
    </xdr:from>
    <xdr:to>
      <xdr:col>9</xdr:col>
      <xdr:colOff>771525</xdr:colOff>
      <xdr:row>63</xdr:row>
      <xdr:rowOff>9525</xdr:rowOff>
    </xdr:to>
    <xdr:pic>
      <xdr:nvPicPr>
        <xdr:cNvPr id="107" name="Picture 10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</xdr:row>
      <xdr:rowOff>47625</xdr:rowOff>
    </xdr:from>
    <xdr:to>
      <xdr:col>2</xdr:col>
      <xdr:colOff>771525</xdr:colOff>
      <xdr:row>93</xdr:row>
      <xdr:rowOff>9525</xdr:rowOff>
    </xdr:to>
    <xdr:pic>
      <xdr:nvPicPr>
        <xdr:cNvPr id="108" name="Picture 10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</xdr:row>
      <xdr:rowOff>47625</xdr:rowOff>
    </xdr:from>
    <xdr:to>
      <xdr:col>9</xdr:col>
      <xdr:colOff>771525</xdr:colOff>
      <xdr:row>93</xdr:row>
      <xdr:rowOff>9525</xdr:rowOff>
    </xdr:to>
    <xdr:pic>
      <xdr:nvPicPr>
        <xdr:cNvPr id="109" name="Picture 10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</xdr:row>
      <xdr:rowOff>47625</xdr:rowOff>
    </xdr:from>
    <xdr:to>
      <xdr:col>2</xdr:col>
      <xdr:colOff>771525</xdr:colOff>
      <xdr:row>123</xdr:row>
      <xdr:rowOff>9525</xdr:rowOff>
    </xdr:to>
    <xdr:pic>
      <xdr:nvPicPr>
        <xdr:cNvPr id="110" name="Picture 10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</xdr:row>
      <xdr:rowOff>47625</xdr:rowOff>
    </xdr:from>
    <xdr:to>
      <xdr:col>9</xdr:col>
      <xdr:colOff>771525</xdr:colOff>
      <xdr:row>123</xdr:row>
      <xdr:rowOff>9525</xdr:rowOff>
    </xdr:to>
    <xdr:pic>
      <xdr:nvPicPr>
        <xdr:cNvPr id="111" name="Picture 11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150</xdr:row>
      <xdr:rowOff>47625</xdr:rowOff>
    </xdr:from>
    <xdr:to>
      <xdr:col>2</xdr:col>
      <xdr:colOff>771525</xdr:colOff>
      <xdr:row>153</xdr:row>
      <xdr:rowOff>9525</xdr:rowOff>
    </xdr:to>
    <xdr:pic>
      <xdr:nvPicPr>
        <xdr:cNvPr id="112" name="Picture 11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150</xdr:row>
      <xdr:rowOff>47625</xdr:rowOff>
    </xdr:from>
    <xdr:to>
      <xdr:col>9</xdr:col>
      <xdr:colOff>771525</xdr:colOff>
      <xdr:row>153</xdr:row>
      <xdr:rowOff>9525</xdr:rowOff>
    </xdr:to>
    <xdr:pic>
      <xdr:nvPicPr>
        <xdr:cNvPr id="113" name="Picture 11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180</xdr:row>
      <xdr:rowOff>47625</xdr:rowOff>
    </xdr:from>
    <xdr:to>
      <xdr:col>2</xdr:col>
      <xdr:colOff>771525</xdr:colOff>
      <xdr:row>183</xdr:row>
      <xdr:rowOff>9525</xdr:rowOff>
    </xdr:to>
    <xdr:pic>
      <xdr:nvPicPr>
        <xdr:cNvPr id="114" name="Picture 11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180</xdr:row>
      <xdr:rowOff>47625</xdr:rowOff>
    </xdr:from>
    <xdr:to>
      <xdr:col>9</xdr:col>
      <xdr:colOff>771525</xdr:colOff>
      <xdr:row>183</xdr:row>
      <xdr:rowOff>9525</xdr:rowOff>
    </xdr:to>
    <xdr:pic>
      <xdr:nvPicPr>
        <xdr:cNvPr id="115" name="Picture 11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210</xdr:row>
      <xdr:rowOff>47625</xdr:rowOff>
    </xdr:from>
    <xdr:to>
      <xdr:col>2</xdr:col>
      <xdr:colOff>771525</xdr:colOff>
      <xdr:row>213</xdr:row>
      <xdr:rowOff>9525</xdr:rowOff>
    </xdr:to>
    <xdr:pic>
      <xdr:nvPicPr>
        <xdr:cNvPr id="116" name="Picture 11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210</xdr:row>
      <xdr:rowOff>47625</xdr:rowOff>
    </xdr:from>
    <xdr:to>
      <xdr:col>9</xdr:col>
      <xdr:colOff>771525</xdr:colOff>
      <xdr:row>213</xdr:row>
      <xdr:rowOff>9525</xdr:rowOff>
    </xdr:to>
    <xdr:pic>
      <xdr:nvPicPr>
        <xdr:cNvPr id="117" name="Picture 11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240</xdr:row>
      <xdr:rowOff>47625</xdr:rowOff>
    </xdr:from>
    <xdr:to>
      <xdr:col>2</xdr:col>
      <xdr:colOff>771525</xdr:colOff>
      <xdr:row>243</xdr:row>
      <xdr:rowOff>9525</xdr:rowOff>
    </xdr:to>
    <xdr:pic>
      <xdr:nvPicPr>
        <xdr:cNvPr id="118" name="Picture 11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240</xdr:row>
      <xdr:rowOff>47625</xdr:rowOff>
    </xdr:from>
    <xdr:to>
      <xdr:col>9</xdr:col>
      <xdr:colOff>771525</xdr:colOff>
      <xdr:row>243</xdr:row>
      <xdr:rowOff>9525</xdr:rowOff>
    </xdr:to>
    <xdr:pic>
      <xdr:nvPicPr>
        <xdr:cNvPr id="119" name="Picture 11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270</xdr:row>
      <xdr:rowOff>47625</xdr:rowOff>
    </xdr:from>
    <xdr:to>
      <xdr:col>2</xdr:col>
      <xdr:colOff>771525</xdr:colOff>
      <xdr:row>273</xdr:row>
      <xdr:rowOff>9525</xdr:rowOff>
    </xdr:to>
    <xdr:pic>
      <xdr:nvPicPr>
        <xdr:cNvPr id="120" name="Picture 11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270</xdr:row>
      <xdr:rowOff>47625</xdr:rowOff>
    </xdr:from>
    <xdr:to>
      <xdr:col>9</xdr:col>
      <xdr:colOff>771525</xdr:colOff>
      <xdr:row>273</xdr:row>
      <xdr:rowOff>9525</xdr:rowOff>
    </xdr:to>
    <xdr:pic>
      <xdr:nvPicPr>
        <xdr:cNvPr id="121" name="Picture 12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300</xdr:row>
      <xdr:rowOff>47625</xdr:rowOff>
    </xdr:from>
    <xdr:to>
      <xdr:col>2</xdr:col>
      <xdr:colOff>771525</xdr:colOff>
      <xdr:row>303</xdr:row>
      <xdr:rowOff>9525</xdr:rowOff>
    </xdr:to>
    <xdr:pic>
      <xdr:nvPicPr>
        <xdr:cNvPr id="122" name="Picture 12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300</xdr:row>
      <xdr:rowOff>47625</xdr:rowOff>
    </xdr:from>
    <xdr:to>
      <xdr:col>9</xdr:col>
      <xdr:colOff>771525</xdr:colOff>
      <xdr:row>303</xdr:row>
      <xdr:rowOff>9525</xdr:rowOff>
    </xdr:to>
    <xdr:pic>
      <xdr:nvPicPr>
        <xdr:cNvPr id="123" name="Picture 12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330</xdr:row>
      <xdr:rowOff>47625</xdr:rowOff>
    </xdr:from>
    <xdr:to>
      <xdr:col>2</xdr:col>
      <xdr:colOff>771525</xdr:colOff>
      <xdr:row>333</xdr:row>
      <xdr:rowOff>9525</xdr:rowOff>
    </xdr:to>
    <xdr:pic>
      <xdr:nvPicPr>
        <xdr:cNvPr id="124" name="Picture 12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330</xdr:row>
      <xdr:rowOff>47625</xdr:rowOff>
    </xdr:from>
    <xdr:to>
      <xdr:col>9</xdr:col>
      <xdr:colOff>771525</xdr:colOff>
      <xdr:row>333</xdr:row>
      <xdr:rowOff>9525</xdr:rowOff>
    </xdr:to>
    <xdr:pic>
      <xdr:nvPicPr>
        <xdr:cNvPr id="125" name="Picture 12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360</xdr:row>
      <xdr:rowOff>47625</xdr:rowOff>
    </xdr:from>
    <xdr:to>
      <xdr:col>2</xdr:col>
      <xdr:colOff>771525</xdr:colOff>
      <xdr:row>363</xdr:row>
      <xdr:rowOff>9525</xdr:rowOff>
    </xdr:to>
    <xdr:pic>
      <xdr:nvPicPr>
        <xdr:cNvPr id="126" name="Picture 12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360</xdr:row>
      <xdr:rowOff>47625</xdr:rowOff>
    </xdr:from>
    <xdr:to>
      <xdr:col>9</xdr:col>
      <xdr:colOff>771525</xdr:colOff>
      <xdr:row>363</xdr:row>
      <xdr:rowOff>9525</xdr:rowOff>
    </xdr:to>
    <xdr:pic>
      <xdr:nvPicPr>
        <xdr:cNvPr id="127" name="Picture 12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390</xdr:row>
      <xdr:rowOff>47625</xdr:rowOff>
    </xdr:from>
    <xdr:to>
      <xdr:col>2</xdr:col>
      <xdr:colOff>771525</xdr:colOff>
      <xdr:row>393</xdr:row>
      <xdr:rowOff>9525</xdr:rowOff>
    </xdr:to>
    <xdr:pic>
      <xdr:nvPicPr>
        <xdr:cNvPr id="128" name="Picture 12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390</xdr:row>
      <xdr:rowOff>47625</xdr:rowOff>
    </xdr:from>
    <xdr:to>
      <xdr:col>9</xdr:col>
      <xdr:colOff>771525</xdr:colOff>
      <xdr:row>393</xdr:row>
      <xdr:rowOff>9525</xdr:rowOff>
    </xdr:to>
    <xdr:pic>
      <xdr:nvPicPr>
        <xdr:cNvPr id="129" name="Picture 12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420</xdr:row>
      <xdr:rowOff>47625</xdr:rowOff>
    </xdr:from>
    <xdr:to>
      <xdr:col>2</xdr:col>
      <xdr:colOff>771525</xdr:colOff>
      <xdr:row>423</xdr:row>
      <xdr:rowOff>9525</xdr:rowOff>
    </xdr:to>
    <xdr:pic>
      <xdr:nvPicPr>
        <xdr:cNvPr id="130" name="Picture 12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420</xdr:row>
      <xdr:rowOff>47625</xdr:rowOff>
    </xdr:from>
    <xdr:to>
      <xdr:col>9</xdr:col>
      <xdr:colOff>771525</xdr:colOff>
      <xdr:row>423</xdr:row>
      <xdr:rowOff>9525</xdr:rowOff>
    </xdr:to>
    <xdr:pic>
      <xdr:nvPicPr>
        <xdr:cNvPr id="131" name="Picture 13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450</xdr:row>
      <xdr:rowOff>47625</xdr:rowOff>
    </xdr:from>
    <xdr:to>
      <xdr:col>2</xdr:col>
      <xdr:colOff>771525</xdr:colOff>
      <xdr:row>453</xdr:row>
      <xdr:rowOff>9525</xdr:rowOff>
    </xdr:to>
    <xdr:pic>
      <xdr:nvPicPr>
        <xdr:cNvPr id="132" name="Picture 13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450</xdr:row>
      <xdr:rowOff>47625</xdr:rowOff>
    </xdr:from>
    <xdr:to>
      <xdr:col>9</xdr:col>
      <xdr:colOff>771525</xdr:colOff>
      <xdr:row>453</xdr:row>
      <xdr:rowOff>9525</xdr:rowOff>
    </xdr:to>
    <xdr:pic>
      <xdr:nvPicPr>
        <xdr:cNvPr id="133" name="Picture 13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480</xdr:row>
      <xdr:rowOff>47625</xdr:rowOff>
    </xdr:from>
    <xdr:to>
      <xdr:col>2</xdr:col>
      <xdr:colOff>771525</xdr:colOff>
      <xdr:row>483</xdr:row>
      <xdr:rowOff>9525</xdr:rowOff>
    </xdr:to>
    <xdr:pic>
      <xdr:nvPicPr>
        <xdr:cNvPr id="134" name="Picture 13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480</xdr:row>
      <xdr:rowOff>47625</xdr:rowOff>
    </xdr:from>
    <xdr:to>
      <xdr:col>9</xdr:col>
      <xdr:colOff>771525</xdr:colOff>
      <xdr:row>483</xdr:row>
      <xdr:rowOff>9525</xdr:rowOff>
    </xdr:to>
    <xdr:pic>
      <xdr:nvPicPr>
        <xdr:cNvPr id="135" name="Picture 13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510</xdr:row>
      <xdr:rowOff>47625</xdr:rowOff>
    </xdr:from>
    <xdr:to>
      <xdr:col>2</xdr:col>
      <xdr:colOff>771525</xdr:colOff>
      <xdr:row>513</xdr:row>
      <xdr:rowOff>9525</xdr:rowOff>
    </xdr:to>
    <xdr:pic>
      <xdr:nvPicPr>
        <xdr:cNvPr id="136" name="Picture 13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510</xdr:row>
      <xdr:rowOff>47625</xdr:rowOff>
    </xdr:from>
    <xdr:to>
      <xdr:col>9</xdr:col>
      <xdr:colOff>771525</xdr:colOff>
      <xdr:row>513</xdr:row>
      <xdr:rowOff>9525</xdr:rowOff>
    </xdr:to>
    <xdr:pic>
      <xdr:nvPicPr>
        <xdr:cNvPr id="137" name="Picture 13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540</xdr:row>
      <xdr:rowOff>47625</xdr:rowOff>
    </xdr:from>
    <xdr:to>
      <xdr:col>2</xdr:col>
      <xdr:colOff>771525</xdr:colOff>
      <xdr:row>543</xdr:row>
      <xdr:rowOff>9525</xdr:rowOff>
    </xdr:to>
    <xdr:pic>
      <xdr:nvPicPr>
        <xdr:cNvPr id="138" name="Picture 13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540</xdr:row>
      <xdr:rowOff>47625</xdr:rowOff>
    </xdr:from>
    <xdr:to>
      <xdr:col>9</xdr:col>
      <xdr:colOff>771525</xdr:colOff>
      <xdr:row>543</xdr:row>
      <xdr:rowOff>9525</xdr:rowOff>
    </xdr:to>
    <xdr:pic>
      <xdr:nvPicPr>
        <xdr:cNvPr id="139" name="Picture 13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570</xdr:row>
      <xdr:rowOff>47625</xdr:rowOff>
    </xdr:from>
    <xdr:to>
      <xdr:col>2</xdr:col>
      <xdr:colOff>771525</xdr:colOff>
      <xdr:row>573</xdr:row>
      <xdr:rowOff>9525</xdr:rowOff>
    </xdr:to>
    <xdr:pic>
      <xdr:nvPicPr>
        <xdr:cNvPr id="140" name="Picture 13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570</xdr:row>
      <xdr:rowOff>47625</xdr:rowOff>
    </xdr:from>
    <xdr:to>
      <xdr:col>9</xdr:col>
      <xdr:colOff>771525</xdr:colOff>
      <xdr:row>573</xdr:row>
      <xdr:rowOff>9525</xdr:rowOff>
    </xdr:to>
    <xdr:pic>
      <xdr:nvPicPr>
        <xdr:cNvPr id="141" name="Picture 14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600</xdr:row>
      <xdr:rowOff>47625</xdr:rowOff>
    </xdr:from>
    <xdr:to>
      <xdr:col>2</xdr:col>
      <xdr:colOff>771525</xdr:colOff>
      <xdr:row>603</xdr:row>
      <xdr:rowOff>9525</xdr:rowOff>
    </xdr:to>
    <xdr:pic>
      <xdr:nvPicPr>
        <xdr:cNvPr id="142" name="Picture 14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600</xdr:row>
      <xdr:rowOff>47625</xdr:rowOff>
    </xdr:from>
    <xdr:to>
      <xdr:col>9</xdr:col>
      <xdr:colOff>771525</xdr:colOff>
      <xdr:row>603</xdr:row>
      <xdr:rowOff>9525</xdr:rowOff>
    </xdr:to>
    <xdr:pic>
      <xdr:nvPicPr>
        <xdr:cNvPr id="143" name="Picture 14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630</xdr:row>
      <xdr:rowOff>47625</xdr:rowOff>
    </xdr:from>
    <xdr:to>
      <xdr:col>2</xdr:col>
      <xdr:colOff>771525</xdr:colOff>
      <xdr:row>633</xdr:row>
      <xdr:rowOff>9525</xdr:rowOff>
    </xdr:to>
    <xdr:pic>
      <xdr:nvPicPr>
        <xdr:cNvPr id="144" name="Picture 14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630</xdr:row>
      <xdr:rowOff>47625</xdr:rowOff>
    </xdr:from>
    <xdr:to>
      <xdr:col>9</xdr:col>
      <xdr:colOff>771525</xdr:colOff>
      <xdr:row>633</xdr:row>
      <xdr:rowOff>9525</xdr:rowOff>
    </xdr:to>
    <xdr:pic>
      <xdr:nvPicPr>
        <xdr:cNvPr id="145" name="Picture 14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660</xdr:row>
      <xdr:rowOff>47625</xdr:rowOff>
    </xdr:from>
    <xdr:to>
      <xdr:col>2</xdr:col>
      <xdr:colOff>771525</xdr:colOff>
      <xdr:row>663</xdr:row>
      <xdr:rowOff>9525</xdr:rowOff>
    </xdr:to>
    <xdr:pic>
      <xdr:nvPicPr>
        <xdr:cNvPr id="146" name="Picture 14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660</xdr:row>
      <xdr:rowOff>47625</xdr:rowOff>
    </xdr:from>
    <xdr:to>
      <xdr:col>9</xdr:col>
      <xdr:colOff>771525</xdr:colOff>
      <xdr:row>663</xdr:row>
      <xdr:rowOff>9525</xdr:rowOff>
    </xdr:to>
    <xdr:pic>
      <xdr:nvPicPr>
        <xdr:cNvPr id="147" name="Picture 14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690</xdr:row>
      <xdr:rowOff>47625</xdr:rowOff>
    </xdr:from>
    <xdr:to>
      <xdr:col>2</xdr:col>
      <xdr:colOff>771525</xdr:colOff>
      <xdr:row>693</xdr:row>
      <xdr:rowOff>9525</xdr:rowOff>
    </xdr:to>
    <xdr:pic>
      <xdr:nvPicPr>
        <xdr:cNvPr id="148" name="Picture 14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690</xdr:row>
      <xdr:rowOff>47625</xdr:rowOff>
    </xdr:from>
    <xdr:to>
      <xdr:col>9</xdr:col>
      <xdr:colOff>771525</xdr:colOff>
      <xdr:row>693</xdr:row>
      <xdr:rowOff>9525</xdr:rowOff>
    </xdr:to>
    <xdr:pic>
      <xdr:nvPicPr>
        <xdr:cNvPr id="149" name="Picture 14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720</xdr:row>
      <xdr:rowOff>47625</xdr:rowOff>
    </xdr:from>
    <xdr:to>
      <xdr:col>2</xdr:col>
      <xdr:colOff>771525</xdr:colOff>
      <xdr:row>723</xdr:row>
      <xdr:rowOff>9525</xdr:rowOff>
    </xdr:to>
    <xdr:pic>
      <xdr:nvPicPr>
        <xdr:cNvPr id="150" name="Picture 14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720</xdr:row>
      <xdr:rowOff>47625</xdr:rowOff>
    </xdr:from>
    <xdr:to>
      <xdr:col>9</xdr:col>
      <xdr:colOff>771525</xdr:colOff>
      <xdr:row>723</xdr:row>
      <xdr:rowOff>9525</xdr:rowOff>
    </xdr:to>
    <xdr:pic>
      <xdr:nvPicPr>
        <xdr:cNvPr id="151" name="Picture 15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750</xdr:row>
      <xdr:rowOff>47625</xdr:rowOff>
    </xdr:from>
    <xdr:to>
      <xdr:col>2</xdr:col>
      <xdr:colOff>771525</xdr:colOff>
      <xdr:row>753</xdr:row>
      <xdr:rowOff>9525</xdr:rowOff>
    </xdr:to>
    <xdr:pic>
      <xdr:nvPicPr>
        <xdr:cNvPr id="152" name="Picture 15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750</xdr:row>
      <xdr:rowOff>47625</xdr:rowOff>
    </xdr:from>
    <xdr:to>
      <xdr:col>9</xdr:col>
      <xdr:colOff>771525</xdr:colOff>
      <xdr:row>753</xdr:row>
      <xdr:rowOff>9525</xdr:rowOff>
    </xdr:to>
    <xdr:pic>
      <xdr:nvPicPr>
        <xdr:cNvPr id="153" name="Picture 15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780</xdr:row>
      <xdr:rowOff>47625</xdr:rowOff>
    </xdr:from>
    <xdr:to>
      <xdr:col>2</xdr:col>
      <xdr:colOff>771525</xdr:colOff>
      <xdr:row>783</xdr:row>
      <xdr:rowOff>9525</xdr:rowOff>
    </xdr:to>
    <xdr:pic>
      <xdr:nvPicPr>
        <xdr:cNvPr id="154" name="Picture 15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780</xdr:row>
      <xdr:rowOff>47625</xdr:rowOff>
    </xdr:from>
    <xdr:to>
      <xdr:col>9</xdr:col>
      <xdr:colOff>771525</xdr:colOff>
      <xdr:row>783</xdr:row>
      <xdr:rowOff>9525</xdr:rowOff>
    </xdr:to>
    <xdr:pic>
      <xdr:nvPicPr>
        <xdr:cNvPr id="155" name="Picture 15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810</xdr:row>
      <xdr:rowOff>47625</xdr:rowOff>
    </xdr:from>
    <xdr:to>
      <xdr:col>2</xdr:col>
      <xdr:colOff>771525</xdr:colOff>
      <xdr:row>813</xdr:row>
      <xdr:rowOff>9525</xdr:rowOff>
    </xdr:to>
    <xdr:pic>
      <xdr:nvPicPr>
        <xdr:cNvPr id="156" name="Picture 15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810</xdr:row>
      <xdr:rowOff>47625</xdr:rowOff>
    </xdr:from>
    <xdr:to>
      <xdr:col>9</xdr:col>
      <xdr:colOff>771525</xdr:colOff>
      <xdr:row>813</xdr:row>
      <xdr:rowOff>9525</xdr:rowOff>
    </xdr:to>
    <xdr:pic>
      <xdr:nvPicPr>
        <xdr:cNvPr id="157" name="Picture 15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840</xdr:row>
      <xdr:rowOff>47625</xdr:rowOff>
    </xdr:from>
    <xdr:to>
      <xdr:col>2</xdr:col>
      <xdr:colOff>771525</xdr:colOff>
      <xdr:row>843</xdr:row>
      <xdr:rowOff>9525</xdr:rowOff>
    </xdr:to>
    <xdr:pic>
      <xdr:nvPicPr>
        <xdr:cNvPr id="158" name="Picture 15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840</xdr:row>
      <xdr:rowOff>47625</xdr:rowOff>
    </xdr:from>
    <xdr:to>
      <xdr:col>9</xdr:col>
      <xdr:colOff>771525</xdr:colOff>
      <xdr:row>843</xdr:row>
      <xdr:rowOff>9525</xdr:rowOff>
    </xdr:to>
    <xdr:pic>
      <xdr:nvPicPr>
        <xdr:cNvPr id="159" name="Picture 15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870</xdr:row>
      <xdr:rowOff>47625</xdr:rowOff>
    </xdr:from>
    <xdr:to>
      <xdr:col>2</xdr:col>
      <xdr:colOff>771525</xdr:colOff>
      <xdr:row>873</xdr:row>
      <xdr:rowOff>9525</xdr:rowOff>
    </xdr:to>
    <xdr:pic>
      <xdr:nvPicPr>
        <xdr:cNvPr id="160" name="Picture 15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870</xdr:row>
      <xdr:rowOff>47625</xdr:rowOff>
    </xdr:from>
    <xdr:to>
      <xdr:col>9</xdr:col>
      <xdr:colOff>771525</xdr:colOff>
      <xdr:row>873</xdr:row>
      <xdr:rowOff>9525</xdr:rowOff>
    </xdr:to>
    <xdr:pic>
      <xdr:nvPicPr>
        <xdr:cNvPr id="161" name="Picture 16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900</xdr:row>
      <xdr:rowOff>47625</xdr:rowOff>
    </xdr:from>
    <xdr:to>
      <xdr:col>2</xdr:col>
      <xdr:colOff>771525</xdr:colOff>
      <xdr:row>903</xdr:row>
      <xdr:rowOff>9525</xdr:rowOff>
    </xdr:to>
    <xdr:pic>
      <xdr:nvPicPr>
        <xdr:cNvPr id="162" name="Picture 16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900</xdr:row>
      <xdr:rowOff>47625</xdr:rowOff>
    </xdr:from>
    <xdr:to>
      <xdr:col>9</xdr:col>
      <xdr:colOff>771525</xdr:colOff>
      <xdr:row>903</xdr:row>
      <xdr:rowOff>9525</xdr:rowOff>
    </xdr:to>
    <xdr:pic>
      <xdr:nvPicPr>
        <xdr:cNvPr id="163" name="Picture 16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930</xdr:row>
      <xdr:rowOff>47625</xdr:rowOff>
    </xdr:from>
    <xdr:to>
      <xdr:col>2</xdr:col>
      <xdr:colOff>771525</xdr:colOff>
      <xdr:row>933</xdr:row>
      <xdr:rowOff>9525</xdr:rowOff>
    </xdr:to>
    <xdr:pic>
      <xdr:nvPicPr>
        <xdr:cNvPr id="164" name="Picture 16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930</xdr:row>
      <xdr:rowOff>47625</xdr:rowOff>
    </xdr:from>
    <xdr:to>
      <xdr:col>9</xdr:col>
      <xdr:colOff>771525</xdr:colOff>
      <xdr:row>933</xdr:row>
      <xdr:rowOff>9525</xdr:rowOff>
    </xdr:to>
    <xdr:pic>
      <xdr:nvPicPr>
        <xdr:cNvPr id="165" name="Picture 16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960</xdr:row>
      <xdr:rowOff>47625</xdr:rowOff>
    </xdr:from>
    <xdr:to>
      <xdr:col>2</xdr:col>
      <xdr:colOff>771525</xdr:colOff>
      <xdr:row>963</xdr:row>
      <xdr:rowOff>9525</xdr:rowOff>
    </xdr:to>
    <xdr:pic>
      <xdr:nvPicPr>
        <xdr:cNvPr id="166" name="Picture 16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960</xdr:row>
      <xdr:rowOff>47625</xdr:rowOff>
    </xdr:from>
    <xdr:to>
      <xdr:col>9</xdr:col>
      <xdr:colOff>771525</xdr:colOff>
      <xdr:row>963</xdr:row>
      <xdr:rowOff>9525</xdr:rowOff>
    </xdr:to>
    <xdr:pic>
      <xdr:nvPicPr>
        <xdr:cNvPr id="167" name="Picture 16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990</xdr:row>
      <xdr:rowOff>47625</xdr:rowOff>
    </xdr:from>
    <xdr:to>
      <xdr:col>2</xdr:col>
      <xdr:colOff>771525</xdr:colOff>
      <xdr:row>993</xdr:row>
      <xdr:rowOff>9525</xdr:rowOff>
    </xdr:to>
    <xdr:pic>
      <xdr:nvPicPr>
        <xdr:cNvPr id="168" name="Picture 16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990</xdr:row>
      <xdr:rowOff>47625</xdr:rowOff>
    </xdr:from>
    <xdr:to>
      <xdr:col>9</xdr:col>
      <xdr:colOff>771525</xdr:colOff>
      <xdr:row>993</xdr:row>
      <xdr:rowOff>9525</xdr:rowOff>
    </xdr:to>
    <xdr:pic>
      <xdr:nvPicPr>
        <xdr:cNvPr id="169" name="Picture 16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1020</xdr:row>
      <xdr:rowOff>47625</xdr:rowOff>
    </xdr:from>
    <xdr:to>
      <xdr:col>2</xdr:col>
      <xdr:colOff>771525</xdr:colOff>
      <xdr:row>1023</xdr:row>
      <xdr:rowOff>9525</xdr:rowOff>
    </xdr:to>
    <xdr:pic>
      <xdr:nvPicPr>
        <xdr:cNvPr id="170" name="Picture 16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1020</xdr:row>
      <xdr:rowOff>47625</xdr:rowOff>
    </xdr:from>
    <xdr:to>
      <xdr:col>9</xdr:col>
      <xdr:colOff>771525</xdr:colOff>
      <xdr:row>1023</xdr:row>
      <xdr:rowOff>9525</xdr:rowOff>
    </xdr:to>
    <xdr:pic>
      <xdr:nvPicPr>
        <xdr:cNvPr id="171" name="Picture 17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1050</xdr:row>
      <xdr:rowOff>47625</xdr:rowOff>
    </xdr:from>
    <xdr:to>
      <xdr:col>2</xdr:col>
      <xdr:colOff>771525</xdr:colOff>
      <xdr:row>1053</xdr:row>
      <xdr:rowOff>9525</xdr:rowOff>
    </xdr:to>
    <xdr:pic>
      <xdr:nvPicPr>
        <xdr:cNvPr id="172" name="Picture 17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1050</xdr:row>
      <xdr:rowOff>47625</xdr:rowOff>
    </xdr:from>
    <xdr:to>
      <xdr:col>9</xdr:col>
      <xdr:colOff>771525</xdr:colOff>
      <xdr:row>1053</xdr:row>
      <xdr:rowOff>9525</xdr:rowOff>
    </xdr:to>
    <xdr:pic>
      <xdr:nvPicPr>
        <xdr:cNvPr id="173" name="Picture 17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1080</xdr:row>
      <xdr:rowOff>47625</xdr:rowOff>
    </xdr:from>
    <xdr:to>
      <xdr:col>2</xdr:col>
      <xdr:colOff>771525</xdr:colOff>
      <xdr:row>1083</xdr:row>
      <xdr:rowOff>9525</xdr:rowOff>
    </xdr:to>
    <xdr:pic>
      <xdr:nvPicPr>
        <xdr:cNvPr id="174" name="Picture 17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1080</xdr:row>
      <xdr:rowOff>47625</xdr:rowOff>
    </xdr:from>
    <xdr:to>
      <xdr:col>9</xdr:col>
      <xdr:colOff>771525</xdr:colOff>
      <xdr:row>1083</xdr:row>
      <xdr:rowOff>9525</xdr:rowOff>
    </xdr:to>
    <xdr:pic>
      <xdr:nvPicPr>
        <xdr:cNvPr id="175" name="Picture 17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1110</xdr:row>
      <xdr:rowOff>47625</xdr:rowOff>
    </xdr:from>
    <xdr:to>
      <xdr:col>2</xdr:col>
      <xdr:colOff>771525</xdr:colOff>
      <xdr:row>1113</xdr:row>
      <xdr:rowOff>9525</xdr:rowOff>
    </xdr:to>
    <xdr:pic>
      <xdr:nvPicPr>
        <xdr:cNvPr id="176" name="Picture 17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1110</xdr:row>
      <xdr:rowOff>47625</xdr:rowOff>
    </xdr:from>
    <xdr:to>
      <xdr:col>9</xdr:col>
      <xdr:colOff>771525</xdr:colOff>
      <xdr:row>1113</xdr:row>
      <xdr:rowOff>9525</xdr:rowOff>
    </xdr:to>
    <xdr:pic>
      <xdr:nvPicPr>
        <xdr:cNvPr id="177" name="Picture 17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1140</xdr:row>
      <xdr:rowOff>47625</xdr:rowOff>
    </xdr:from>
    <xdr:to>
      <xdr:col>2</xdr:col>
      <xdr:colOff>771525</xdr:colOff>
      <xdr:row>1143</xdr:row>
      <xdr:rowOff>9525</xdr:rowOff>
    </xdr:to>
    <xdr:pic>
      <xdr:nvPicPr>
        <xdr:cNvPr id="178" name="Picture 17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1140</xdr:row>
      <xdr:rowOff>47625</xdr:rowOff>
    </xdr:from>
    <xdr:to>
      <xdr:col>9</xdr:col>
      <xdr:colOff>771525</xdr:colOff>
      <xdr:row>1143</xdr:row>
      <xdr:rowOff>9525</xdr:rowOff>
    </xdr:to>
    <xdr:pic>
      <xdr:nvPicPr>
        <xdr:cNvPr id="179" name="Picture 17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1170</xdr:row>
      <xdr:rowOff>47625</xdr:rowOff>
    </xdr:from>
    <xdr:to>
      <xdr:col>2</xdr:col>
      <xdr:colOff>771525</xdr:colOff>
      <xdr:row>1173</xdr:row>
      <xdr:rowOff>9525</xdr:rowOff>
    </xdr:to>
    <xdr:pic>
      <xdr:nvPicPr>
        <xdr:cNvPr id="180" name="Picture 17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1170</xdr:row>
      <xdr:rowOff>47625</xdr:rowOff>
    </xdr:from>
    <xdr:to>
      <xdr:col>9</xdr:col>
      <xdr:colOff>771525</xdr:colOff>
      <xdr:row>1173</xdr:row>
      <xdr:rowOff>9525</xdr:rowOff>
    </xdr:to>
    <xdr:pic>
      <xdr:nvPicPr>
        <xdr:cNvPr id="181" name="Picture 18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1200</xdr:row>
      <xdr:rowOff>47625</xdr:rowOff>
    </xdr:from>
    <xdr:to>
      <xdr:col>2</xdr:col>
      <xdr:colOff>771525</xdr:colOff>
      <xdr:row>1203</xdr:row>
      <xdr:rowOff>9525</xdr:rowOff>
    </xdr:to>
    <xdr:pic>
      <xdr:nvPicPr>
        <xdr:cNvPr id="182" name="Picture 18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1200</xdr:row>
      <xdr:rowOff>47625</xdr:rowOff>
    </xdr:from>
    <xdr:to>
      <xdr:col>9</xdr:col>
      <xdr:colOff>771525</xdr:colOff>
      <xdr:row>1203</xdr:row>
      <xdr:rowOff>9525</xdr:rowOff>
    </xdr:to>
    <xdr:pic>
      <xdr:nvPicPr>
        <xdr:cNvPr id="183" name="Picture 18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1230</xdr:row>
      <xdr:rowOff>47625</xdr:rowOff>
    </xdr:from>
    <xdr:to>
      <xdr:col>2</xdr:col>
      <xdr:colOff>771525</xdr:colOff>
      <xdr:row>1233</xdr:row>
      <xdr:rowOff>9525</xdr:rowOff>
    </xdr:to>
    <xdr:pic>
      <xdr:nvPicPr>
        <xdr:cNvPr id="184" name="Picture 18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1230</xdr:row>
      <xdr:rowOff>47625</xdr:rowOff>
    </xdr:from>
    <xdr:to>
      <xdr:col>9</xdr:col>
      <xdr:colOff>771525</xdr:colOff>
      <xdr:row>1233</xdr:row>
      <xdr:rowOff>9525</xdr:rowOff>
    </xdr:to>
    <xdr:pic>
      <xdr:nvPicPr>
        <xdr:cNvPr id="185" name="Picture 18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1260</xdr:row>
      <xdr:rowOff>47625</xdr:rowOff>
    </xdr:from>
    <xdr:to>
      <xdr:col>2</xdr:col>
      <xdr:colOff>771525</xdr:colOff>
      <xdr:row>1263</xdr:row>
      <xdr:rowOff>9525</xdr:rowOff>
    </xdr:to>
    <xdr:pic>
      <xdr:nvPicPr>
        <xdr:cNvPr id="186" name="Picture 18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1260</xdr:row>
      <xdr:rowOff>47625</xdr:rowOff>
    </xdr:from>
    <xdr:to>
      <xdr:col>9</xdr:col>
      <xdr:colOff>771525</xdr:colOff>
      <xdr:row>1263</xdr:row>
      <xdr:rowOff>9525</xdr:rowOff>
    </xdr:to>
    <xdr:pic>
      <xdr:nvPicPr>
        <xdr:cNvPr id="187" name="Picture 18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1290</xdr:row>
      <xdr:rowOff>47625</xdr:rowOff>
    </xdr:from>
    <xdr:to>
      <xdr:col>2</xdr:col>
      <xdr:colOff>771525</xdr:colOff>
      <xdr:row>1293</xdr:row>
      <xdr:rowOff>9525</xdr:rowOff>
    </xdr:to>
    <xdr:pic>
      <xdr:nvPicPr>
        <xdr:cNvPr id="188" name="Picture 18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1290</xdr:row>
      <xdr:rowOff>47625</xdr:rowOff>
    </xdr:from>
    <xdr:to>
      <xdr:col>9</xdr:col>
      <xdr:colOff>771525</xdr:colOff>
      <xdr:row>1293</xdr:row>
      <xdr:rowOff>9525</xdr:rowOff>
    </xdr:to>
    <xdr:pic>
      <xdr:nvPicPr>
        <xdr:cNvPr id="189" name="Picture 18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1320</xdr:row>
      <xdr:rowOff>47625</xdr:rowOff>
    </xdr:from>
    <xdr:to>
      <xdr:col>2</xdr:col>
      <xdr:colOff>771525</xdr:colOff>
      <xdr:row>1323</xdr:row>
      <xdr:rowOff>9525</xdr:rowOff>
    </xdr:to>
    <xdr:pic>
      <xdr:nvPicPr>
        <xdr:cNvPr id="190" name="Picture 18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1320</xdr:row>
      <xdr:rowOff>47625</xdr:rowOff>
    </xdr:from>
    <xdr:to>
      <xdr:col>9</xdr:col>
      <xdr:colOff>771525</xdr:colOff>
      <xdr:row>1323</xdr:row>
      <xdr:rowOff>9525</xdr:rowOff>
    </xdr:to>
    <xdr:pic>
      <xdr:nvPicPr>
        <xdr:cNvPr id="191" name="Picture 19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1350</xdr:row>
      <xdr:rowOff>47625</xdr:rowOff>
    </xdr:from>
    <xdr:to>
      <xdr:col>2</xdr:col>
      <xdr:colOff>771525</xdr:colOff>
      <xdr:row>1353</xdr:row>
      <xdr:rowOff>9525</xdr:rowOff>
    </xdr:to>
    <xdr:pic>
      <xdr:nvPicPr>
        <xdr:cNvPr id="192" name="Picture 19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1350</xdr:row>
      <xdr:rowOff>47625</xdr:rowOff>
    </xdr:from>
    <xdr:to>
      <xdr:col>9</xdr:col>
      <xdr:colOff>771525</xdr:colOff>
      <xdr:row>1353</xdr:row>
      <xdr:rowOff>9525</xdr:rowOff>
    </xdr:to>
    <xdr:pic>
      <xdr:nvPicPr>
        <xdr:cNvPr id="193" name="Picture 19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1380</xdr:row>
      <xdr:rowOff>47625</xdr:rowOff>
    </xdr:from>
    <xdr:to>
      <xdr:col>2</xdr:col>
      <xdr:colOff>771525</xdr:colOff>
      <xdr:row>1383</xdr:row>
      <xdr:rowOff>9525</xdr:rowOff>
    </xdr:to>
    <xdr:pic>
      <xdr:nvPicPr>
        <xdr:cNvPr id="194" name="Picture 19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1380</xdr:row>
      <xdr:rowOff>47625</xdr:rowOff>
    </xdr:from>
    <xdr:to>
      <xdr:col>9</xdr:col>
      <xdr:colOff>771525</xdr:colOff>
      <xdr:row>1383</xdr:row>
      <xdr:rowOff>9525</xdr:rowOff>
    </xdr:to>
    <xdr:pic>
      <xdr:nvPicPr>
        <xdr:cNvPr id="195" name="Picture 19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1410</xdr:row>
      <xdr:rowOff>47625</xdr:rowOff>
    </xdr:from>
    <xdr:to>
      <xdr:col>2</xdr:col>
      <xdr:colOff>771525</xdr:colOff>
      <xdr:row>1413</xdr:row>
      <xdr:rowOff>9525</xdr:rowOff>
    </xdr:to>
    <xdr:pic>
      <xdr:nvPicPr>
        <xdr:cNvPr id="196" name="Picture 19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1410</xdr:row>
      <xdr:rowOff>47625</xdr:rowOff>
    </xdr:from>
    <xdr:to>
      <xdr:col>9</xdr:col>
      <xdr:colOff>771525</xdr:colOff>
      <xdr:row>1413</xdr:row>
      <xdr:rowOff>9525</xdr:rowOff>
    </xdr:to>
    <xdr:pic>
      <xdr:nvPicPr>
        <xdr:cNvPr id="197" name="Picture 19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1440</xdr:row>
      <xdr:rowOff>47625</xdr:rowOff>
    </xdr:from>
    <xdr:to>
      <xdr:col>2</xdr:col>
      <xdr:colOff>771525</xdr:colOff>
      <xdr:row>1443</xdr:row>
      <xdr:rowOff>9525</xdr:rowOff>
    </xdr:to>
    <xdr:pic>
      <xdr:nvPicPr>
        <xdr:cNvPr id="198" name="Picture 19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1440</xdr:row>
      <xdr:rowOff>47625</xdr:rowOff>
    </xdr:from>
    <xdr:to>
      <xdr:col>9</xdr:col>
      <xdr:colOff>771525</xdr:colOff>
      <xdr:row>1443</xdr:row>
      <xdr:rowOff>9525</xdr:rowOff>
    </xdr:to>
    <xdr:pic>
      <xdr:nvPicPr>
        <xdr:cNvPr id="199" name="Picture 19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1470</xdr:row>
      <xdr:rowOff>47625</xdr:rowOff>
    </xdr:from>
    <xdr:to>
      <xdr:col>2</xdr:col>
      <xdr:colOff>771525</xdr:colOff>
      <xdr:row>1473</xdr:row>
      <xdr:rowOff>9525</xdr:rowOff>
    </xdr:to>
    <xdr:pic>
      <xdr:nvPicPr>
        <xdr:cNvPr id="200" name="Picture 19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1470</xdr:row>
      <xdr:rowOff>47625</xdr:rowOff>
    </xdr:from>
    <xdr:to>
      <xdr:col>9</xdr:col>
      <xdr:colOff>771525</xdr:colOff>
      <xdr:row>1473</xdr:row>
      <xdr:rowOff>9525</xdr:rowOff>
    </xdr:to>
    <xdr:pic>
      <xdr:nvPicPr>
        <xdr:cNvPr id="201" name="Picture 20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0</xdr:row>
      <xdr:rowOff>47625</xdr:rowOff>
    </xdr:from>
    <xdr:to>
      <xdr:col>2</xdr:col>
      <xdr:colOff>771525</xdr:colOff>
      <xdr:row>3</xdr:row>
      <xdr:rowOff>9525</xdr:rowOff>
    </xdr:to>
    <xdr:pic>
      <xdr:nvPicPr>
        <xdr:cNvPr id="202" name="Picture 20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47625</xdr:rowOff>
    </xdr:from>
    <xdr:to>
      <xdr:col>9</xdr:col>
      <xdr:colOff>771525</xdr:colOff>
      <xdr:row>3</xdr:row>
      <xdr:rowOff>9525</xdr:rowOff>
    </xdr:to>
    <xdr:pic>
      <xdr:nvPicPr>
        <xdr:cNvPr id="203" name="Picture 20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47625</xdr:rowOff>
    </xdr:from>
    <xdr:to>
      <xdr:col>2</xdr:col>
      <xdr:colOff>771525</xdr:colOff>
      <xdr:row>33</xdr:row>
      <xdr:rowOff>9525</xdr:rowOff>
    </xdr:to>
    <xdr:pic>
      <xdr:nvPicPr>
        <xdr:cNvPr id="204" name="Picture 20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</xdr:row>
      <xdr:rowOff>47625</xdr:rowOff>
    </xdr:from>
    <xdr:to>
      <xdr:col>9</xdr:col>
      <xdr:colOff>771525</xdr:colOff>
      <xdr:row>33</xdr:row>
      <xdr:rowOff>9525</xdr:rowOff>
    </xdr:to>
    <xdr:pic>
      <xdr:nvPicPr>
        <xdr:cNvPr id="205" name="Picture 20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</xdr:row>
      <xdr:rowOff>47625</xdr:rowOff>
    </xdr:from>
    <xdr:to>
      <xdr:col>2</xdr:col>
      <xdr:colOff>771525</xdr:colOff>
      <xdr:row>63</xdr:row>
      <xdr:rowOff>9525</xdr:rowOff>
    </xdr:to>
    <xdr:pic>
      <xdr:nvPicPr>
        <xdr:cNvPr id="206" name="Picture 20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</xdr:row>
      <xdr:rowOff>47625</xdr:rowOff>
    </xdr:from>
    <xdr:to>
      <xdr:col>9</xdr:col>
      <xdr:colOff>771525</xdr:colOff>
      <xdr:row>63</xdr:row>
      <xdr:rowOff>9525</xdr:rowOff>
    </xdr:to>
    <xdr:pic>
      <xdr:nvPicPr>
        <xdr:cNvPr id="207" name="Picture 20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</xdr:row>
      <xdr:rowOff>47625</xdr:rowOff>
    </xdr:from>
    <xdr:to>
      <xdr:col>2</xdr:col>
      <xdr:colOff>771525</xdr:colOff>
      <xdr:row>93</xdr:row>
      <xdr:rowOff>9525</xdr:rowOff>
    </xdr:to>
    <xdr:pic>
      <xdr:nvPicPr>
        <xdr:cNvPr id="208" name="Picture 20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</xdr:row>
      <xdr:rowOff>47625</xdr:rowOff>
    </xdr:from>
    <xdr:to>
      <xdr:col>9</xdr:col>
      <xdr:colOff>771525</xdr:colOff>
      <xdr:row>93</xdr:row>
      <xdr:rowOff>9525</xdr:rowOff>
    </xdr:to>
    <xdr:pic>
      <xdr:nvPicPr>
        <xdr:cNvPr id="209" name="Picture 20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</xdr:row>
      <xdr:rowOff>47625</xdr:rowOff>
    </xdr:from>
    <xdr:to>
      <xdr:col>2</xdr:col>
      <xdr:colOff>771525</xdr:colOff>
      <xdr:row>123</xdr:row>
      <xdr:rowOff>9525</xdr:rowOff>
    </xdr:to>
    <xdr:pic>
      <xdr:nvPicPr>
        <xdr:cNvPr id="210" name="Picture 20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</xdr:row>
      <xdr:rowOff>47625</xdr:rowOff>
    </xdr:from>
    <xdr:to>
      <xdr:col>9</xdr:col>
      <xdr:colOff>771525</xdr:colOff>
      <xdr:row>123</xdr:row>
      <xdr:rowOff>9525</xdr:rowOff>
    </xdr:to>
    <xdr:pic>
      <xdr:nvPicPr>
        <xdr:cNvPr id="211" name="Picture 21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150</xdr:row>
      <xdr:rowOff>47625</xdr:rowOff>
    </xdr:from>
    <xdr:to>
      <xdr:col>2</xdr:col>
      <xdr:colOff>771525</xdr:colOff>
      <xdr:row>153</xdr:row>
      <xdr:rowOff>9525</xdr:rowOff>
    </xdr:to>
    <xdr:pic>
      <xdr:nvPicPr>
        <xdr:cNvPr id="212" name="Picture 21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150</xdr:row>
      <xdr:rowOff>47625</xdr:rowOff>
    </xdr:from>
    <xdr:to>
      <xdr:col>9</xdr:col>
      <xdr:colOff>771525</xdr:colOff>
      <xdr:row>153</xdr:row>
      <xdr:rowOff>9525</xdr:rowOff>
    </xdr:to>
    <xdr:pic>
      <xdr:nvPicPr>
        <xdr:cNvPr id="213" name="Picture 21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180</xdr:row>
      <xdr:rowOff>47625</xdr:rowOff>
    </xdr:from>
    <xdr:to>
      <xdr:col>2</xdr:col>
      <xdr:colOff>771525</xdr:colOff>
      <xdr:row>183</xdr:row>
      <xdr:rowOff>9525</xdr:rowOff>
    </xdr:to>
    <xdr:pic>
      <xdr:nvPicPr>
        <xdr:cNvPr id="214" name="Picture 21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180</xdr:row>
      <xdr:rowOff>47625</xdr:rowOff>
    </xdr:from>
    <xdr:to>
      <xdr:col>9</xdr:col>
      <xdr:colOff>771525</xdr:colOff>
      <xdr:row>183</xdr:row>
      <xdr:rowOff>9525</xdr:rowOff>
    </xdr:to>
    <xdr:pic>
      <xdr:nvPicPr>
        <xdr:cNvPr id="215" name="Picture 21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210</xdr:row>
      <xdr:rowOff>47625</xdr:rowOff>
    </xdr:from>
    <xdr:to>
      <xdr:col>2</xdr:col>
      <xdr:colOff>771525</xdr:colOff>
      <xdr:row>213</xdr:row>
      <xdr:rowOff>9525</xdr:rowOff>
    </xdr:to>
    <xdr:pic>
      <xdr:nvPicPr>
        <xdr:cNvPr id="216" name="Picture 21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210</xdr:row>
      <xdr:rowOff>47625</xdr:rowOff>
    </xdr:from>
    <xdr:to>
      <xdr:col>9</xdr:col>
      <xdr:colOff>771525</xdr:colOff>
      <xdr:row>213</xdr:row>
      <xdr:rowOff>9525</xdr:rowOff>
    </xdr:to>
    <xdr:pic>
      <xdr:nvPicPr>
        <xdr:cNvPr id="217" name="Picture 21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240</xdr:row>
      <xdr:rowOff>47625</xdr:rowOff>
    </xdr:from>
    <xdr:to>
      <xdr:col>2</xdr:col>
      <xdr:colOff>771525</xdr:colOff>
      <xdr:row>243</xdr:row>
      <xdr:rowOff>9525</xdr:rowOff>
    </xdr:to>
    <xdr:pic>
      <xdr:nvPicPr>
        <xdr:cNvPr id="218" name="Picture 21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240</xdr:row>
      <xdr:rowOff>47625</xdr:rowOff>
    </xdr:from>
    <xdr:to>
      <xdr:col>9</xdr:col>
      <xdr:colOff>771525</xdr:colOff>
      <xdr:row>243</xdr:row>
      <xdr:rowOff>9525</xdr:rowOff>
    </xdr:to>
    <xdr:pic>
      <xdr:nvPicPr>
        <xdr:cNvPr id="219" name="Picture 21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270</xdr:row>
      <xdr:rowOff>47625</xdr:rowOff>
    </xdr:from>
    <xdr:to>
      <xdr:col>2</xdr:col>
      <xdr:colOff>771525</xdr:colOff>
      <xdr:row>273</xdr:row>
      <xdr:rowOff>9525</xdr:rowOff>
    </xdr:to>
    <xdr:pic>
      <xdr:nvPicPr>
        <xdr:cNvPr id="220" name="Picture 21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270</xdr:row>
      <xdr:rowOff>47625</xdr:rowOff>
    </xdr:from>
    <xdr:to>
      <xdr:col>9</xdr:col>
      <xdr:colOff>771525</xdr:colOff>
      <xdr:row>273</xdr:row>
      <xdr:rowOff>9525</xdr:rowOff>
    </xdr:to>
    <xdr:pic>
      <xdr:nvPicPr>
        <xdr:cNvPr id="221" name="Picture 22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300</xdr:row>
      <xdr:rowOff>47625</xdr:rowOff>
    </xdr:from>
    <xdr:to>
      <xdr:col>2</xdr:col>
      <xdr:colOff>771525</xdr:colOff>
      <xdr:row>303</xdr:row>
      <xdr:rowOff>9525</xdr:rowOff>
    </xdr:to>
    <xdr:pic>
      <xdr:nvPicPr>
        <xdr:cNvPr id="222" name="Picture 22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300</xdr:row>
      <xdr:rowOff>47625</xdr:rowOff>
    </xdr:from>
    <xdr:to>
      <xdr:col>9</xdr:col>
      <xdr:colOff>771525</xdr:colOff>
      <xdr:row>303</xdr:row>
      <xdr:rowOff>9525</xdr:rowOff>
    </xdr:to>
    <xdr:pic>
      <xdr:nvPicPr>
        <xdr:cNvPr id="223" name="Picture 22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330</xdr:row>
      <xdr:rowOff>47625</xdr:rowOff>
    </xdr:from>
    <xdr:to>
      <xdr:col>2</xdr:col>
      <xdr:colOff>771525</xdr:colOff>
      <xdr:row>333</xdr:row>
      <xdr:rowOff>9525</xdr:rowOff>
    </xdr:to>
    <xdr:pic>
      <xdr:nvPicPr>
        <xdr:cNvPr id="224" name="Picture 22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330</xdr:row>
      <xdr:rowOff>47625</xdr:rowOff>
    </xdr:from>
    <xdr:to>
      <xdr:col>9</xdr:col>
      <xdr:colOff>771525</xdr:colOff>
      <xdr:row>333</xdr:row>
      <xdr:rowOff>9525</xdr:rowOff>
    </xdr:to>
    <xdr:pic>
      <xdr:nvPicPr>
        <xdr:cNvPr id="225" name="Picture 22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360</xdr:row>
      <xdr:rowOff>47625</xdr:rowOff>
    </xdr:from>
    <xdr:to>
      <xdr:col>2</xdr:col>
      <xdr:colOff>771525</xdr:colOff>
      <xdr:row>363</xdr:row>
      <xdr:rowOff>9525</xdr:rowOff>
    </xdr:to>
    <xdr:pic>
      <xdr:nvPicPr>
        <xdr:cNvPr id="226" name="Picture 22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360</xdr:row>
      <xdr:rowOff>47625</xdr:rowOff>
    </xdr:from>
    <xdr:to>
      <xdr:col>9</xdr:col>
      <xdr:colOff>771525</xdr:colOff>
      <xdr:row>363</xdr:row>
      <xdr:rowOff>9525</xdr:rowOff>
    </xdr:to>
    <xdr:pic>
      <xdr:nvPicPr>
        <xdr:cNvPr id="227" name="Picture 22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390</xdr:row>
      <xdr:rowOff>47625</xdr:rowOff>
    </xdr:from>
    <xdr:to>
      <xdr:col>2</xdr:col>
      <xdr:colOff>771525</xdr:colOff>
      <xdr:row>393</xdr:row>
      <xdr:rowOff>9525</xdr:rowOff>
    </xdr:to>
    <xdr:pic>
      <xdr:nvPicPr>
        <xdr:cNvPr id="228" name="Picture 22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390</xdr:row>
      <xdr:rowOff>47625</xdr:rowOff>
    </xdr:from>
    <xdr:to>
      <xdr:col>9</xdr:col>
      <xdr:colOff>771525</xdr:colOff>
      <xdr:row>393</xdr:row>
      <xdr:rowOff>9525</xdr:rowOff>
    </xdr:to>
    <xdr:pic>
      <xdr:nvPicPr>
        <xdr:cNvPr id="229" name="Picture 22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420</xdr:row>
      <xdr:rowOff>47625</xdr:rowOff>
    </xdr:from>
    <xdr:to>
      <xdr:col>2</xdr:col>
      <xdr:colOff>771525</xdr:colOff>
      <xdr:row>423</xdr:row>
      <xdr:rowOff>9525</xdr:rowOff>
    </xdr:to>
    <xdr:pic>
      <xdr:nvPicPr>
        <xdr:cNvPr id="230" name="Picture 22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420</xdr:row>
      <xdr:rowOff>47625</xdr:rowOff>
    </xdr:from>
    <xdr:to>
      <xdr:col>9</xdr:col>
      <xdr:colOff>771525</xdr:colOff>
      <xdr:row>423</xdr:row>
      <xdr:rowOff>9525</xdr:rowOff>
    </xdr:to>
    <xdr:pic>
      <xdr:nvPicPr>
        <xdr:cNvPr id="231" name="Picture 23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450</xdr:row>
      <xdr:rowOff>47625</xdr:rowOff>
    </xdr:from>
    <xdr:to>
      <xdr:col>2</xdr:col>
      <xdr:colOff>771525</xdr:colOff>
      <xdr:row>453</xdr:row>
      <xdr:rowOff>9525</xdr:rowOff>
    </xdr:to>
    <xdr:pic>
      <xdr:nvPicPr>
        <xdr:cNvPr id="232" name="Picture 23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450</xdr:row>
      <xdr:rowOff>47625</xdr:rowOff>
    </xdr:from>
    <xdr:to>
      <xdr:col>9</xdr:col>
      <xdr:colOff>771525</xdr:colOff>
      <xdr:row>453</xdr:row>
      <xdr:rowOff>9525</xdr:rowOff>
    </xdr:to>
    <xdr:pic>
      <xdr:nvPicPr>
        <xdr:cNvPr id="233" name="Picture 23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480</xdr:row>
      <xdr:rowOff>47625</xdr:rowOff>
    </xdr:from>
    <xdr:to>
      <xdr:col>2</xdr:col>
      <xdr:colOff>771525</xdr:colOff>
      <xdr:row>483</xdr:row>
      <xdr:rowOff>9525</xdr:rowOff>
    </xdr:to>
    <xdr:pic>
      <xdr:nvPicPr>
        <xdr:cNvPr id="234" name="Picture 23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480</xdr:row>
      <xdr:rowOff>47625</xdr:rowOff>
    </xdr:from>
    <xdr:to>
      <xdr:col>9</xdr:col>
      <xdr:colOff>771525</xdr:colOff>
      <xdr:row>483</xdr:row>
      <xdr:rowOff>9525</xdr:rowOff>
    </xdr:to>
    <xdr:pic>
      <xdr:nvPicPr>
        <xdr:cNvPr id="235" name="Picture 23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510</xdr:row>
      <xdr:rowOff>47625</xdr:rowOff>
    </xdr:from>
    <xdr:to>
      <xdr:col>2</xdr:col>
      <xdr:colOff>771525</xdr:colOff>
      <xdr:row>513</xdr:row>
      <xdr:rowOff>9525</xdr:rowOff>
    </xdr:to>
    <xdr:pic>
      <xdr:nvPicPr>
        <xdr:cNvPr id="236" name="Picture 23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510</xdr:row>
      <xdr:rowOff>47625</xdr:rowOff>
    </xdr:from>
    <xdr:to>
      <xdr:col>9</xdr:col>
      <xdr:colOff>771525</xdr:colOff>
      <xdr:row>513</xdr:row>
      <xdr:rowOff>9525</xdr:rowOff>
    </xdr:to>
    <xdr:pic>
      <xdr:nvPicPr>
        <xdr:cNvPr id="237" name="Picture 23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540</xdr:row>
      <xdr:rowOff>47625</xdr:rowOff>
    </xdr:from>
    <xdr:to>
      <xdr:col>2</xdr:col>
      <xdr:colOff>771525</xdr:colOff>
      <xdr:row>543</xdr:row>
      <xdr:rowOff>9525</xdr:rowOff>
    </xdr:to>
    <xdr:pic>
      <xdr:nvPicPr>
        <xdr:cNvPr id="238" name="Picture 23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540</xdr:row>
      <xdr:rowOff>47625</xdr:rowOff>
    </xdr:from>
    <xdr:to>
      <xdr:col>9</xdr:col>
      <xdr:colOff>771525</xdr:colOff>
      <xdr:row>543</xdr:row>
      <xdr:rowOff>9525</xdr:rowOff>
    </xdr:to>
    <xdr:pic>
      <xdr:nvPicPr>
        <xdr:cNvPr id="239" name="Picture 23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570</xdr:row>
      <xdr:rowOff>47625</xdr:rowOff>
    </xdr:from>
    <xdr:to>
      <xdr:col>2</xdr:col>
      <xdr:colOff>771525</xdr:colOff>
      <xdr:row>573</xdr:row>
      <xdr:rowOff>9525</xdr:rowOff>
    </xdr:to>
    <xdr:pic>
      <xdr:nvPicPr>
        <xdr:cNvPr id="240" name="Picture 23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570</xdr:row>
      <xdr:rowOff>47625</xdr:rowOff>
    </xdr:from>
    <xdr:to>
      <xdr:col>9</xdr:col>
      <xdr:colOff>771525</xdr:colOff>
      <xdr:row>573</xdr:row>
      <xdr:rowOff>9525</xdr:rowOff>
    </xdr:to>
    <xdr:pic>
      <xdr:nvPicPr>
        <xdr:cNvPr id="241" name="Picture 24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600</xdr:row>
      <xdr:rowOff>47625</xdr:rowOff>
    </xdr:from>
    <xdr:to>
      <xdr:col>2</xdr:col>
      <xdr:colOff>771525</xdr:colOff>
      <xdr:row>603</xdr:row>
      <xdr:rowOff>9525</xdr:rowOff>
    </xdr:to>
    <xdr:pic>
      <xdr:nvPicPr>
        <xdr:cNvPr id="242" name="Picture 24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600</xdr:row>
      <xdr:rowOff>47625</xdr:rowOff>
    </xdr:from>
    <xdr:to>
      <xdr:col>9</xdr:col>
      <xdr:colOff>771525</xdr:colOff>
      <xdr:row>603</xdr:row>
      <xdr:rowOff>9525</xdr:rowOff>
    </xdr:to>
    <xdr:pic>
      <xdr:nvPicPr>
        <xdr:cNvPr id="243" name="Picture 24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630</xdr:row>
      <xdr:rowOff>47625</xdr:rowOff>
    </xdr:from>
    <xdr:to>
      <xdr:col>2</xdr:col>
      <xdr:colOff>771525</xdr:colOff>
      <xdr:row>633</xdr:row>
      <xdr:rowOff>9525</xdr:rowOff>
    </xdr:to>
    <xdr:pic>
      <xdr:nvPicPr>
        <xdr:cNvPr id="244" name="Picture 24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630</xdr:row>
      <xdr:rowOff>47625</xdr:rowOff>
    </xdr:from>
    <xdr:to>
      <xdr:col>9</xdr:col>
      <xdr:colOff>771525</xdr:colOff>
      <xdr:row>633</xdr:row>
      <xdr:rowOff>9525</xdr:rowOff>
    </xdr:to>
    <xdr:pic>
      <xdr:nvPicPr>
        <xdr:cNvPr id="245" name="Picture 24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660</xdr:row>
      <xdr:rowOff>47625</xdr:rowOff>
    </xdr:from>
    <xdr:to>
      <xdr:col>2</xdr:col>
      <xdr:colOff>771525</xdr:colOff>
      <xdr:row>663</xdr:row>
      <xdr:rowOff>9525</xdr:rowOff>
    </xdr:to>
    <xdr:pic>
      <xdr:nvPicPr>
        <xdr:cNvPr id="246" name="Picture 24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660</xdr:row>
      <xdr:rowOff>47625</xdr:rowOff>
    </xdr:from>
    <xdr:to>
      <xdr:col>9</xdr:col>
      <xdr:colOff>771525</xdr:colOff>
      <xdr:row>663</xdr:row>
      <xdr:rowOff>9525</xdr:rowOff>
    </xdr:to>
    <xdr:pic>
      <xdr:nvPicPr>
        <xdr:cNvPr id="247" name="Picture 24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690</xdr:row>
      <xdr:rowOff>47625</xdr:rowOff>
    </xdr:from>
    <xdr:to>
      <xdr:col>2</xdr:col>
      <xdr:colOff>771525</xdr:colOff>
      <xdr:row>693</xdr:row>
      <xdr:rowOff>9525</xdr:rowOff>
    </xdr:to>
    <xdr:pic>
      <xdr:nvPicPr>
        <xdr:cNvPr id="248" name="Picture 24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690</xdr:row>
      <xdr:rowOff>47625</xdr:rowOff>
    </xdr:from>
    <xdr:to>
      <xdr:col>9</xdr:col>
      <xdr:colOff>771525</xdr:colOff>
      <xdr:row>693</xdr:row>
      <xdr:rowOff>9525</xdr:rowOff>
    </xdr:to>
    <xdr:pic>
      <xdr:nvPicPr>
        <xdr:cNvPr id="249" name="Picture 24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720</xdr:row>
      <xdr:rowOff>47625</xdr:rowOff>
    </xdr:from>
    <xdr:to>
      <xdr:col>2</xdr:col>
      <xdr:colOff>771525</xdr:colOff>
      <xdr:row>723</xdr:row>
      <xdr:rowOff>9525</xdr:rowOff>
    </xdr:to>
    <xdr:pic>
      <xdr:nvPicPr>
        <xdr:cNvPr id="250" name="Picture 24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720</xdr:row>
      <xdr:rowOff>47625</xdr:rowOff>
    </xdr:from>
    <xdr:to>
      <xdr:col>9</xdr:col>
      <xdr:colOff>771525</xdr:colOff>
      <xdr:row>723</xdr:row>
      <xdr:rowOff>9525</xdr:rowOff>
    </xdr:to>
    <xdr:pic>
      <xdr:nvPicPr>
        <xdr:cNvPr id="251" name="Picture 25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750</xdr:row>
      <xdr:rowOff>47625</xdr:rowOff>
    </xdr:from>
    <xdr:to>
      <xdr:col>2</xdr:col>
      <xdr:colOff>771525</xdr:colOff>
      <xdr:row>753</xdr:row>
      <xdr:rowOff>9525</xdr:rowOff>
    </xdr:to>
    <xdr:pic>
      <xdr:nvPicPr>
        <xdr:cNvPr id="252" name="Picture 25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750</xdr:row>
      <xdr:rowOff>47625</xdr:rowOff>
    </xdr:from>
    <xdr:to>
      <xdr:col>9</xdr:col>
      <xdr:colOff>771525</xdr:colOff>
      <xdr:row>753</xdr:row>
      <xdr:rowOff>9525</xdr:rowOff>
    </xdr:to>
    <xdr:pic>
      <xdr:nvPicPr>
        <xdr:cNvPr id="253" name="Picture 25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780</xdr:row>
      <xdr:rowOff>47625</xdr:rowOff>
    </xdr:from>
    <xdr:to>
      <xdr:col>2</xdr:col>
      <xdr:colOff>771525</xdr:colOff>
      <xdr:row>783</xdr:row>
      <xdr:rowOff>9525</xdr:rowOff>
    </xdr:to>
    <xdr:pic>
      <xdr:nvPicPr>
        <xdr:cNvPr id="254" name="Picture 25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780</xdr:row>
      <xdr:rowOff>47625</xdr:rowOff>
    </xdr:from>
    <xdr:to>
      <xdr:col>9</xdr:col>
      <xdr:colOff>771525</xdr:colOff>
      <xdr:row>783</xdr:row>
      <xdr:rowOff>9525</xdr:rowOff>
    </xdr:to>
    <xdr:pic>
      <xdr:nvPicPr>
        <xdr:cNvPr id="255" name="Picture 25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810</xdr:row>
      <xdr:rowOff>47625</xdr:rowOff>
    </xdr:from>
    <xdr:to>
      <xdr:col>2</xdr:col>
      <xdr:colOff>771525</xdr:colOff>
      <xdr:row>813</xdr:row>
      <xdr:rowOff>9525</xdr:rowOff>
    </xdr:to>
    <xdr:pic>
      <xdr:nvPicPr>
        <xdr:cNvPr id="256" name="Picture 25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810</xdr:row>
      <xdr:rowOff>47625</xdr:rowOff>
    </xdr:from>
    <xdr:to>
      <xdr:col>9</xdr:col>
      <xdr:colOff>771525</xdr:colOff>
      <xdr:row>813</xdr:row>
      <xdr:rowOff>9525</xdr:rowOff>
    </xdr:to>
    <xdr:pic>
      <xdr:nvPicPr>
        <xdr:cNvPr id="257" name="Picture 25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840</xdr:row>
      <xdr:rowOff>47625</xdr:rowOff>
    </xdr:from>
    <xdr:to>
      <xdr:col>2</xdr:col>
      <xdr:colOff>771525</xdr:colOff>
      <xdr:row>843</xdr:row>
      <xdr:rowOff>9525</xdr:rowOff>
    </xdr:to>
    <xdr:pic>
      <xdr:nvPicPr>
        <xdr:cNvPr id="258" name="Picture 25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840</xdr:row>
      <xdr:rowOff>47625</xdr:rowOff>
    </xdr:from>
    <xdr:to>
      <xdr:col>9</xdr:col>
      <xdr:colOff>771525</xdr:colOff>
      <xdr:row>843</xdr:row>
      <xdr:rowOff>9525</xdr:rowOff>
    </xdr:to>
    <xdr:pic>
      <xdr:nvPicPr>
        <xdr:cNvPr id="259" name="Picture 25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870</xdr:row>
      <xdr:rowOff>47625</xdr:rowOff>
    </xdr:from>
    <xdr:to>
      <xdr:col>2</xdr:col>
      <xdr:colOff>771525</xdr:colOff>
      <xdr:row>873</xdr:row>
      <xdr:rowOff>9525</xdr:rowOff>
    </xdr:to>
    <xdr:pic>
      <xdr:nvPicPr>
        <xdr:cNvPr id="260" name="Picture 25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870</xdr:row>
      <xdr:rowOff>47625</xdr:rowOff>
    </xdr:from>
    <xdr:to>
      <xdr:col>9</xdr:col>
      <xdr:colOff>771525</xdr:colOff>
      <xdr:row>873</xdr:row>
      <xdr:rowOff>9525</xdr:rowOff>
    </xdr:to>
    <xdr:pic>
      <xdr:nvPicPr>
        <xdr:cNvPr id="261" name="Picture 26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900</xdr:row>
      <xdr:rowOff>47625</xdr:rowOff>
    </xdr:from>
    <xdr:to>
      <xdr:col>2</xdr:col>
      <xdr:colOff>771525</xdr:colOff>
      <xdr:row>903</xdr:row>
      <xdr:rowOff>9525</xdr:rowOff>
    </xdr:to>
    <xdr:pic>
      <xdr:nvPicPr>
        <xdr:cNvPr id="262" name="Picture 26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900</xdr:row>
      <xdr:rowOff>47625</xdr:rowOff>
    </xdr:from>
    <xdr:to>
      <xdr:col>9</xdr:col>
      <xdr:colOff>771525</xdr:colOff>
      <xdr:row>903</xdr:row>
      <xdr:rowOff>9525</xdr:rowOff>
    </xdr:to>
    <xdr:pic>
      <xdr:nvPicPr>
        <xdr:cNvPr id="263" name="Picture 26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930</xdr:row>
      <xdr:rowOff>47625</xdr:rowOff>
    </xdr:from>
    <xdr:to>
      <xdr:col>2</xdr:col>
      <xdr:colOff>771525</xdr:colOff>
      <xdr:row>933</xdr:row>
      <xdr:rowOff>9525</xdr:rowOff>
    </xdr:to>
    <xdr:pic>
      <xdr:nvPicPr>
        <xdr:cNvPr id="264" name="Picture 26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930</xdr:row>
      <xdr:rowOff>47625</xdr:rowOff>
    </xdr:from>
    <xdr:to>
      <xdr:col>9</xdr:col>
      <xdr:colOff>771525</xdr:colOff>
      <xdr:row>933</xdr:row>
      <xdr:rowOff>9525</xdr:rowOff>
    </xdr:to>
    <xdr:pic>
      <xdr:nvPicPr>
        <xdr:cNvPr id="265" name="Picture 26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960</xdr:row>
      <xdr:rowOff>47625</xdr:rowOff>
    </xdr:from>
    <xdr:to>
      <xdr:col>2</xdr:col>
      <xdr:colOff>771525</xdr:colOff>
      <xdr:row>963</xdr:row>
      <xdr:rowOff>9525</xdr:rowOff>
    </xdr:to>
    <xdr:pic>
      <xdr:nvPicPr>
        <xdr:cNvPr id="266" name="Picture 26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960</xdr:row>
      <xdr:rowOff>47625</xdr:rowOff>
    </xdr:from>
    <xdr:to>
      <xdr:col>9</xdr:col>
      <xdr:colOff>771525</xdr:colOff>
      <xdr:row>963</xdr:row>
      <xdr:rowOff>9525</xdr:rowOff>
    </xdr:to>
    <xdr:pic>
      <xdr:nvPicPr>
        <xdr:cNvPr id="267" name="Picture 26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990</xdr:row>
      <xdr:rowOff>47625</xdr:rowOff>
    </xdr:from>
    <xdr:to>
      <xdr:col>2</xdr:col>
      <xdr:colOff>771525</xdr:colOff>
      <xdr:row>993</xdr:row>
      <xdr:rowOff>9525</xdr:rowOff>
    </xdr:to>
    <xdr:pic>
      <xdr:nvPicPr>
        <xdr:cNvPr id="268" name="Picture 26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990</xdr:row>
      <xdr:rowOff>47625</xdr:rowOff>
    </xdr:from>
    <xdr:to>
      <xdr:col>9</xdr:col>
      <xdr:colOff>771525</xdr:colOff>
      <xdr:row>993</xdr:row>
      <xdr:rowOff>9525</xdr:rowOff>
    </xdr:to>
    <xdr:pic>
      <xdr:nvPicPr>
        <xdr:cNvPr id="269" name="Picture 26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1020</xdr:row>
      <xdr:rowOff>47625</xdr:rowOff>
    </xdr:from>
    <xdr:to>
      <xdr:col>2</xdr:col>
      <xdr:colOff>771525</xdr:colOff>
      <xdr:row>1023</xdr:row>
      <xdr:rowOff>9525</xdr:rowOff>
    </xdr:to>
    <xdr:pic>
      <xdr:nvPicPr>
        <xdr:cNvPr id="270" name="Picture 26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1020</xdr:row>
      <xdr:rowOff>47625</xdr:rowOff>
    </xdr:from>
    <xdr:to>
      <xdr:col>9</xdr:col>
      <xdr:colOff>771525</xdr:colOff>
      <xdr:row>1023</xdr:row>
      <xdr:rowOff>9525</xdr:rowOff>
    </xdr:to>
    <xdr:pic>
      <xdr:nvPicPr>
        <xdr:cNvPr id="271" name="Picture 27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1050</xdr:row>
      <xdr:rowOff>47625</xdr:rowOff>
    </xdr:from>
    <xdr:to>
      <xdr:col>2</xdr:col>
      <xdr:colOff>771525</xdr:colOff>
      <xdr:row>1053</xdr:row>
      <xdr:rowOff>9525</xdr:rowOff>
    </xdr:to>
    <xdr:pic>
      <xdr:nvPicPr>
        <xdr:cNvPr id="272" name="Picture 27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1050</xdr:row>
      <xdr:rowOff>47625</xdr:rowOff>
    </xdr:from>
    <xdr:to>
      <xdr:col>9</xdr:col>
      <xdr:colOff>771525</xdr:colOff>
      <xdr:row>1053</xdr:row>
      <xdr:rowOff>9525</xdr:rowOff>
    </xdr:to>
    <xdr:pic>
      <xdr:nvPicPr>
        <xdr:cNvPr id="273" name="Picture 27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1080</xdr:row>
      <xdr:rowOff>47625</xdr:rowOff>
    </xdr:from>
    <xdr:to>
      <xdr:col>2</xdr:col>
      <xdr:colOff>771525</xdr:colOff>
      <xdr:row>1083</xdr:row>
      <xdr:rowOff>9525</xdr:rowOff>
    </xdr:to>
    <xdr:pic>
      <xdr:nvPicPr>
        <xdr:cNvPr id="274" name="Picture 27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1080</xdr:row>
      <xdr:rowOff>47625</xdr:rowOff>
    </xdr:from>
    <xdr:to>
      <xdr:col>9</xdr:col>
      <xdr:colOff>771525</xdr:colOff>
      <xdr:row>1083</xdr:row>
      <xdr:rowOff>9525</xdr:rowOff>
    </xdr:to>
    <xdr:pic>
      <xdr:nvPicPr>
        <xdr:cNvPr id="275" name="Picture 27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1110</xdr:row>
      <xdr:rowOff>47625</xdr:rowOff>
    </xdr:from>
    <xdr:to>
      <xdr:col>2</xdr:col>
      <xdr:colOff>771525</xdr:colOff>
      <xdr:row>1113</xdr:row>
      <xdr:rowOff>9525</xdr:rowOff>
    </xdr:to>
    <xdr:pic>
      <xdr:nvPicPr>
        <xdr:cNvPr id="276" name="Picture 27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1110</xdr:row>
      <xdr:rowOff>47625</xdr:rowOff>
    </xdr:from>
    <xdr:to>
      <xdr:col>9</xdr:col>
      <xdr:colOff>771525</xdr:colOff>
      <xdr:row>1113</xdr:row>
      <xdr:rowOff>9525</xdr:rowOff>
    </xdr:to>
    <xdr:pic>
      <xdr:nvPicPr>
        <xdr:cNvPr id="277" name="Picture 27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1140</xdr:row>
      <xdr:rowOff>47625</xdr:rowOff>
    </xdr:from>
    <xdr:to>
      <xdr:col>2</xdr:col>
      <xdr:colOff>771525</xdr:colOff>
      <xdr:row>1143</xdr:row>
      <xdr:rowOff>9525</xdr:rowOff>
    </xdr:to>
    <xdr:pic>
      <xdr:nvPicPr>
        <xdr:cNvPr id="278" name="Picture 27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1140</xdr:row>
      <xdr:rowOff>47625</xdr:rowOff>
    </xdr:from>
    <xdr:to>
      <xdr:col>9</xdr:col>
      <xdr:colOff>771525</xdr:colOff>
      <xdr:row>1143</xdr:row>
      <xdr:rowOff>9525</xdr:rowOff>
    </xdr:to>
    <xdr:pic>
      <xdr:nvPicPr>
        <xdr:cNvPr id="279" name="Picture 27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1170</xdr:row>
      <xdr:rowOff>47625</xdr:rowOff>
    </xdr:from>
    <xdr:to>
      <xdr:col>2</xdr:col>
      <xdr:colOff>771525</xdr:colOff>
      <xdr:row>1173</xdr:row>
      <xdr:rowOff>9525</xdr:rowOff>
    </xdr:to>
    <xdr:pic>
      <xdr:nvPicPr>
        <xdr:cNvPr id="280" name="Picture 27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1170</xdr:row>
      <xdr:rowOff>47625</xdr:rowOff>
    </xdr:from>
    <xdr:to>
      <xdr:col>9</xdr:col>
      <xdr:colOff>771525</xdr:colOff>
      <xdr:row>1173</xdr:row>
      <xdr:rowOff>9525</xdr:rowOff>
    </xdr:to>
    <xdr:pic>
      <xdr:nvPicPr>
        <xdr:cNvPr id="281" name="Picture 28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1200</xdr:row>
      <xdr:rowOff>47625</xdr:rowOff>
    </xdr:from>
    <xdr:to>
      <xdr:col>2</xdr:col>
      <xdr:colOff>771525</xdr:colOff>
      <xdr:row>1203</xdr:row>
      <xdr:rowOff>9525</xdr:rowOff>
    </xdr:to>
    <xdr:pic>
      <xdr:nvPicPr>
        <xdr:cNvPr id="282" name="Picture 28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1200</xdr:row>
      <xdr:rowOff>47625</xdr:rowOff>
    </xdr:from>
    <xdr:to>
      <xdr:col>9</xdr:col>
      <xdr:colOff>771525</xdr:colOff>
      <xdr:row>1203</xdr:row>
      <xdr:rowOff>9525</xdr:rowOff>
    </xdr:to>
    <xdr:pic>
      <xdr:nvPicPr>
        <xdr:cNvPr id="283" name="Picture 28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1230</xdr:row>
      <xdr:rowOff>47625</xdr:rowOff>
    </xdr:from>
    <xdr:to>
      <xdr:col>2</xdr:col>
      <xdr:colOff>771525</xdr:colOff>
      <xdr:row>1233</xdr:row>
      <xdr:rowOff>9525</xdr:rowOff>
    </xdr:to>
    <xdr:pic>
      <xdr:nvPicPr>
        <xdr:cNvPr id="284" name="Picture 28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1230</xdr:row>
      <xdr:rowOff>47625</xdr:rowOff>
    </xdr:from>
    <xdr:to>
      <xdr:col>9</xdr:col>
      <xdr:colOff>771525</xdr:colOff>
      <xdr:row>1233</xdr:row>
      <xdr:rowOff>9525</xdr:rowOff>
    </xdr:to>
    <xdr:pic>
      <xdr:nvPicPr>
        <xdr:cNvPr id="285" name="Picture 28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1260</xdr:row>
      <xdr:rowOff>47625</xdr:rowOff>
    </xdr:from>
    <xdr:to>
      <xdr:col>2</xdr:col>
      <xdr:colOff>771525</xdr:colOff>
      <xdr:row>1263</xdr:row>
      <xdr:rowOff>9525</xdr:rowOff>
    </xdr:to>
    <xdr:pic>
      <xdr:nvPicPr>
        <xdr:cNvPr id="286" name="Picture 28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1260</xdr:row>
      <xdr:rowOff>47625</xdr:rowOff>
    </xdr:from>
    <xdr:to>
      <xdr:col>9</xdr:col>
      <xdr:colOff>771525</xdr:colOff>
      <xdr:row>1263</xdr:row>
      <xdr:rowOff>9525</xdr:rowOff>
    </xdr:to>
    <xdr:pic>
      <xdr:nvPicPr>
        <xdr:cNvPr id="287" name="Picture 28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1290</xdr:row>
      <xdr:rowOff>47625</xdr:rowOff>
    </xdr:from>
    <xdr:to>
      <xdr:col>2</xdr:col>
      <xdr:colOff>771525</xdr:colOff>
      <xdr:row>1293</xdr:row>
      <xdr:rowOff>9525</xdr:rowOff>
    </xdr:to>
    <xdr:pic>
      <xdr:nvPicPr>
        <xdr:cNvPr id="288" name="Picture 28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1290</xdr:row>
      <xdr:rowOff>47625</xdr:rowOff>
    </xdr:from>
    <xdr:to>
      <xdr:col>9</xdr:col>
      <xdr:colOff>771525</xdr:colOff>
      <xdr:row>1293</xdr:row>
      <xdr:rowOff>9525</xdr:rowOff>
    </xdr:to>
    <xdr:pic>
      <xdr:nvPicPr>
        <xdr:cNvPr id="289" name="Picture 28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1320</xdr:row>
      <xdr:rowOff>47625</xdr:rowOff>
    </xdr:from>
    <xdr:to>
      <xdr:col>2</xdr:col>
      <xdr:colOff>771525</xdr:colOff>
      <xdr:row>1323</xdr:row>
      <xdr:rowOff>9525</xdr:rowOff>
    </xdr:to>
    <xdr:pic>
      <xdr:nvPicPr>
        <xdr:cNvPr id="290" name="Picture 28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1320</xdr:row>
      <xdr:rowOff>47625</xdr:rowOff>
    </xdr:from>
    <xdr:to>
      <xdr:col>9</xdr:col>
      <xdr:colOff>771525</xdr:colOff>
      <xdr:row>1323</xdr:row>
      <xdr:rowOff>9525</xdr:rowOff>
    </xdr:to>
    <xdr:pic>
      <xdr:nvPicPr>
        <xdr:cNvPr id="291" name="Picture 29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1350</xdr:row>
      <xdr:rowOff>47625</xdr:rowOff>
    </xdr:from>
    <xdr:to>
      <xdr:col>2</xdr:col>
      <xdr:colOff>771525</xdr:colOff>
      <xdr:row>1353</xdr:row>
      <xdr:rowOff>9525</xdr:rowOff>
    </xdr:to>
    <xdr:pic>
      <xdr:nvPicPr>
        <xdr:cNvPr id="292" name="Picture 29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1350</xdr:row>
      <xdr:rowOff>47625</xdr:rowOff>
    </xdr:from>
    <xdr:to>
      <xdr:col>9</xdr:col>
      <xdr:colOff>771525</xdr:colOff>
      <xdr:row>1353</xdr:row>
      <xdr:rowOff>9525</xdr:rowOff>
    </xdr:to>
    <xdr:pic>
      <xdr:nvPicPr>
        <xdr:cNvPr id="293" name="Picture 29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1380</xdr:row>
      <xdr:rowOff>47625</xdr:rowOff>
    </xdr:from>
    <xdr:to>
      <xdr:col>2</xdr:col>
      <xdr:colOff>771525</xdr:colOff>
      <xdr:row>1383</xdr:row>
      <xdr:rowOff>9525</xdr:rowOff>
    </xdr:to>
    <xdr:pic>
      <xdr:nvPicPr>
        <xdr:cNvPr id="294" name="Picture 29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1380</xdr:row>
      <xdr:rowOff>47625</xdr:rowOff>
    </xdr:from>
    <xdr:to>
      <xdr:col>9</xdr:col>
      <xdr:colOff>771525</xdr:colOff>
      <xdr:row>1383</xdr:row>
      <xdr:rowOff>9525</xdr:rowOff>
    </xdr:to>
    <xdr:pic>
      <xdr:nvPicPr>
        <xdr:cNvPr id="295" name="Picture 29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1410</xdr:row>
      <xdr:rowOff>47625</xdr:rowOff>
    </xdr:from>
    <xdr:to>
      <xdr:col>2</xdr:col>
      <xdr:colOff>771525</xdr:colOff>
      <xdr:row>1413</xdr:row>
      <xdr:rowOff>9525</xdr:rowOff>
    </xdr:to>
    <xdr:pic>
      <xdr:nvPicPr>
        <xdr:cNvPr id="296" name="Picture 29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1410</xdr:row>
      <xdr:rowOff>47625</xdr:rowOff>
    </xdr:from>
    <xdr:to>
      <xdr:col>9</xdr:col>
      <xdr:colOff>771525</xdr:colOff>
      <xdr:row>1413</xdr:row>
      <xdr:rowOff>9525</xdr:rowOff>
    </xdr:to>
    <xdr:pic>
      <xdr:nvPicPr>
        <xdr:cNvPr id="297" name="Picture 29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1440</xdr:row>
      <xdr:rowOff>47625</xdr:rowOff>
    </xdr:from>
    <xdr:to>
      <xdr:col>2</xdr:col>
      <xdr:colOff>771525</xdr:colOff>
      <xdr:row>1443</xdr:row>
      <xdr:rowOff>9525</xdr:rowOff>
    </xdr:to>
    <xdr:pic>
      <xdr:nvPicPr>
        <xdr:cNvPr id="298" name="Picture 29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1440</xdr:row>
      <xdr:rowOff>47625</xdr:rowOff>
    </xdr:from>
    <xdr:to>
      <xdr:col>9</xdr:col>
      <xdr:colOff>771525</xdr:colOff>
      <xdr:row>1443</xdr:row>
      <xdr:rowOff>9525</xdr:rowOff>
    </xdr:to>
    <xdr:pic>
      <xdr:nvPicPr>
        <xdr:cNvPr id="299" name="Picture 29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1470</xdr:row>
      <xdr:rowOff>47625</xdr:rowOff>
    </xdr:from>
    <xdr:to>
      <xdr:col>2</xdr:col>
      <xdr:colOff>771525</xdr:colOff>
      <xdr:row>1473</xdr:row>
      <xdr:rowOff>9525</xdr:rowOff>
    </xdr:to>
    <xdr:pic>
      <xdr:nvPicPr>
        <xdr:cNvPr id="300" name="Picture 29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1470</xdr:row>
      <xdr:rowOff>47625</xdr:rowOff>
    </xdr:from>
    <xdr:to>
      <xdr:col>9</xdr:col>
      <xdr:colOff>771525</xdr:colOff>
      <xdr:row>1473</xdr:row>
      <xdr:rowOff>9525</xdr:rowOff>
    </xdr:to>
    <xdr:pic>
      <xdr:nvPicPr>
        <xdr:cNvPr id="301" name="Picture 30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0</xdr:row>
      <xdr:rowOff>47625</xdr:rowOff>
    </xdr:from>
    <xdr:to>
      <xdr:col>2</xdr:col>
      <xdr:colOff>771525</xdr:colOff>
      <xdr:row>3</xdr:row>
      <xdr:rowOff>9525</xdr:rowOff>
    </xdr:to>
    <xdr:pic>
      <xdr:nvPicPr>
        <xdr:cNvPr id="302" name="Picture 30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47625</xdr:rowOff>
    </xdr:from>
    <xdr:to>
      <xdr:col>9</xdr:col>
      <xdr:colOff>771525</xdr:colOff>
      <xdr:row>3</xdr:row>
      <xdr:rowOff>9525</xdr:rowOff>
    </xdr:to>
    <xdr:pic>
      <xdr:nvPicPr>
        <xdr:cNvPr id="303" name="Picture 30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47625</xdr:rowOff>
    </xdr:from>
    <xdr:to>
      <xdr:col>2</xdr:col>
      <xdr:colOff>771525</xdr:colOff>
      <xdr:row>33</xdr:row>
      <xdr:rowOff>9525</xdr:rowOff>
    </xdr:to>
    <xdr:pic>
      <xdr:nvPicPr>
        <xdr:cNvPr id="304" name="Picture 30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</xdr:row>
      <xdr:rowOff>47625</xdr:rowOff>
    </xdr:from>
    <xdr:to>
      <xdr:col>9</xdr:col>
      <xdr:colOff>771525</xdr:colOff>
      <xdr:row>33</xdr:row>
      <xdr:rowOff>9525</xdr:rowOff>
    </xdr:to>
    <xdr:pic>
      <xdr:nvPicPr>
        <xdr:cNvPr id="305" name="Picture 30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</xdr:row>
      <xdr:rowOff>47625</xdr:rowOff>
    </xdr:from>
    <xdr:to>
      <xdr:col>2</xdr:col>
      <xdr:colOff>771525</xdr:colOff>
      <xdr:row>63</xdr:row>
      <xdr:rowOff>9525</xdr:rowOff>
    </xdr:to>
    <xdr:pic>
      <xdr:nvPicPr>
        <xdr:cNvPr id="306" name="Picture 30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</xdr:row>
      <xdr:rowOff>47625</xdr:rowOff>
    </xdr:from>
    <xdr:to>
      <xdr:col>9</xdr:col>
      <xdr:colOff>771525</xdr:colOff>
      <xdr:row>63</xdr:row>
      <xdr:rowOff>9525</xdr:rowOff>
    </xdr:to>
    <xdr:pic>
      <xdr:nvPicPr>
        <xdr:cNvPr id="307" name="Picture 30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</xdr:row>
      <xdr:rowOff>47625</xdr:rowOff>
    </xdr:from>
    <xdr:to>
      <xdr:col>2</xdr:col>
      <xdr:colOff>771525</xdr:colOff>
      <xdr:row>93</xdr:row>
      <xdr:rowOff>9525</xdr:rowOff>
    </xdr:to>
    <xdr:pic>
      <xdr:nvPicPr>
        <xdr:cNvPr id="308" name="Picture 30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</xdr:row>
      <xdr:rowOff>47625</xdr:rowOff>
    </xdr:from>
    <xdr:to>
      <xdr:col>9</xdr:col>
      <xdr:colOff>771525</xdr:colOff>
      <xdr:row>93</xdr:row>
      <xdr:rowOff>9525</xdr:rowOff>
    </xdr:to>
    <xdr:pic>
      <xdr:nvPicPr>
        <xdr:cNvPr id="309" name="Picture 30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</xdr:row>
      <xdr:rowOff>47625</xdr:rowOff>
    </xdr:from>
    <xdr:to>
      <xdr:col>2</xdr:col>
      <xdr:colOff>771525</xdr:colOff>
      <xdr:row>123</xdr:row>
      <xdr:rowOff>9525</xdr:rowOff>
    </xdr:to>
    <xdr:pic>
      <xdr:nvPicPr>
        <xdr:cNvPr id="310" name="Picture 30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</xdr:row>
      <xdr:rowOff>47625</xdr:rowOff>
    </xdr:from>
    <xdr:to>
      <xdr:col>9</xdr:col>
      <xdr:colOff>771525</xdr:colOff>
      <xdr:row>123</xdr:row>
      <xdr:rowOff>9525</xdr:rowOff>
    </xdr:to>
    <xdr:pic>
      <xdr:nvPicPr>
        <xdr:cNvPr id="311" name="Picture 31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150</xdr:row>
      <xdr:rowOff>47625</xdr:rowOff>
    </xdr:from>
    <xdr:to>
      <xdr:col>2</xdr:col>
      <xdr:colOff>771525</xdr:colOff>
      <xdr:row>153</xdr:row>
      <xdr:rowOff>9525</xdr:rowOff>
    </xdr:to>
    <xdr:pic>
      <xdr:nvPicPr>
        <xdr:cNvPr id="312" name="Picture 31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150</xdr:row>
      <xdr:rowOff>47625</xdr:rowOff>
    </xdr:from>
    <xdr:to>
      <xdr:col>9</xdr:col>
      <xdr:colOff>771525</xdr:colOff>
      <xdr:row>153</xdr:row>
      <xdr:rowOff>9525</xdr:rowOff>
    </xdr:to>
    <xdr:pic>
      <xdr:nvPicPr>
        <xdr:cNvPr id="313" name="Picture 31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180</xdr:row>
      <xdr:rowOff>47625</xdr:rowOff>
    </xdr:from>
    <xdr:to>
      <xdr:col>2</xdr:col>
      <xdr:colOff>771525</xdr:colOff>
      <xdr:row>183</xdr:row>
      <xdr:rowOff>9525</xdr:rowOff>
    </xdr:to>
    <xdr:pic>
      <xdr:nvPicPr>
        <xdr:cNvPr id="314" name="Picture 31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180</xdr:row>
      <xdr:rowOff>47625</xdr:rowOff>
    </xdr:from>
    <xdr:to>
      <xdr:col>9</xdr:col>
      <xdr:colOff>771525</xdr:colOff>
      <xdr:row>183</xdr:row>
      <xdr:rowOff>9525</xdr:rowOff>
    </xdr:to>
    <xdr:pic>
      <xdr:nvPicPr>
        <xdr:cNvPr id="315" name="Picture 31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210</xdr:row>
      <xdr:rowOff>47625</xdr:rowOff>
    </xdr:from>
    <xdr:to>
      <xdr:col>2</xdr:col>
      <xdr:colOff>771525</xdr:colOff>
      <xdr:row>213</xdr:row>
      <xdr:rowOff>9525</xdr:rowOff>
    </xdr:to>
    <xdr:pic>
      <xdr:nvPicPr>
        <xdr:cNvPr id="316" name="Picture 31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210</xdr:row>
      <xdr:rowOff>47625</xdr:rowOff>
    </xdr:from>
    <xdr:to>
      <xdr:col>9</xdr:col>
      <xdr:colOff>771525</xdr:colOff>
      <xdr:row>213</xdr:row>
      <xdr:rowOff>9525</xdr:rowOff>
    </xdr:to>
    <xdr:pic>
      <xdr:nvPicPr>
        <xdr:cNvPr id="317" name="Picture 31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240</xdr:row>
      <xdr:rowOff>47625</xdr:rowOff>
    </xdr:from>
    <xdr:to>
      <xdr:col>2</xdr:col>
      <xdr:colOff>771525</xdr:colOff>
      <xdr:row>243</xdr:row>
      <xdr:rowOff>9525</xdr:rowOff>
    </xdr:to>
    <xdr:pic>
      <xdr:nvPicPr>
        <xdr:cNvPr id="318" name="Picture 31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240</xdr:row>
      <xdr:rowOff>47625</xdr:rowOff>
    </xdr:from>
    <xdr:to>
      <xdr:col>9</xdr:col>
      <xdr:colOff>771525</xdr:colOff>
      <xdr:row>243</xdr:row>
      <xdr:rowOff>9525</xdr:rowOff>
    </xdr:to>
    <xdr:pic>
      <xdr:nvPicPr>
        <xdr:cNvPr id="319" name="Picture 31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270</xdr:row>
      <xdr:rowOff>47625</xdr:rowOff>
    </xdr:from>
    <xdr:to>
      <xdr:col>2</xdr:col>
      <xdr:colOff>771525</xdr:colOff>
      <xdr:row>273</xdr:row>
      <xdr:rowOff>9525</xdr:rowOff>
    </xdr:to>
    <xdr:pic>
      <xdr:nvPicPr>
        <xdr:cNvPr id="320" name="Picture 31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270</xdr:row>
      <xdr:rowOff>47625</xdr:rowOff>
    </xdr:from>
    <xdr:to>
      <xdr:col>9</xdr:col>
      <xdr:colOff>771525</xdr:colOff>
      <xdr:row>273</xdr:row>
      <xdr:rowOff>9525</xdr:rowOff>
    </xdr:to>
    <xdr:pic>
      <xdr:nvPicPr>
        <xdr:cNvPr id="321" name="Picture 32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300</xdr:row>
      <xdr:rowOff>47625</xdr:rowOff>
    </xdr:from>
    <xdr:to>
      <xdr:col>2</xdr:col>
      <xdr:colOff>771525</xdr:colOff>
      <xdr:row>303</xdr:row>
      <xdr:rowOff>9525</xdr:rowOff>
    </xdr:to>
    <xdr:pic>
      <xdr:nvPicPr>
        <xdr:cNvPr id="322" name="Picture 32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300</xdr:row>
      <xdr:rowOff>47625</xdr:rowOff>
    </xdr:from>
    <xdr:to>
      <xdr:col>9</xdr:col>
      <xdr:colOff>771525</xdr:colOff>
      <xdr:row>303</xdr:row>
      <xdr:rowOff>9525</xdr:rowOff>
    </xdr:to>
    <xdr:pic>
      <xdr:nvPicPr>
        <xdr:cNvPr id="323" name="Picture 32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330</xdr:row>
      <xdr:rowOff>47625</xdr:rowOff>
    </xdr:from>
    <xdr:to>
      <xdr:col>2</xdr:col>
      <xdr:colOff>771525</xdr:colOff>
      <xdr:row>333</xdr:row>
      <xdr:rowOff>9525</xdr:rowOff>
    </xdr:to>
    <xdr:pic>
      <xdr:nvPicPr>
        <xdr:cNvPr id="324" name="Picture 32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330</xdr:row>
      <xdr:rowOff>47625</xdr:rowOff>
    </xdr:from>
    <xdr:to>
      <xdr:col>9</xdr:col>
      <xdr:colOff>771525</xdr:colOff>
      <xdr:row>333</xdr:row>
      <xdr:rowOff>9525</xdr:rowOff>
    </xdr:to>
    <xdr:pic>
      <xdr:nvPicPr>
        <xdr:cNvPr id="325" name="Picture 32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360</xdr:row>
      <xdr:rowOff>47625</xdr:rowOff>
    </xdr:from>
    <xdr:to>
      <xdr:col>2</xdr:col>
      <xdr:colOff>771525</xdr:colOff>
      <xdr:row>363</xdr:row>
      <xdr:rowOff>9525</xdr:rowOff>
    </xdr:to>
    <xdr:pic>
      <xdr:nvPicPr>
        <xdr:cNvPr id="326" name="Picture 32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360</xdr:row>
      <xdr:rowOff>47625</xdr:rowOff>
    </xdr:from>
    <xdr:to>
      <xdr:col>9</xdr:col>
      <xdr:colOff>771525</xdr:colOff>
      <xdr:row>363</xdr:row>
      <xdr:rowOff>9525</xdr:rowOff>
    </xdr:to>
    <xdr:pic>
      <xdr:nvPicPr>
        <xdr:cNvPr id="327" name="Picture 32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390</xdr:row>
      <xdr:rowOff>47625</xdr:rowOff>
    </xdr:from>
    <xdr:to>
      <xdr:col>2</xdr:col>
      <xdr:colOff>771525</xdr:colOff>
      <xdr:row>393</xdr:row>
      <xdr:rowOff>9525</xdr:rowOff>
    </xdr:to>
    <xdr:pic>
      <xdr:nvPicPr>
        <xdr:cNvPr id="328" name="Picture 32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390</xdr:row>
      <xdr:rowOff>47625</xdr:rowOff>
    </xdr:from>
    <xdr:to>
      <xdr:col>9</xdr:col>
      <xdr:colOff>771525</xdr:colOff>
      <xdr:row>393</xdr:row>
      <xdr:rowOff>9525</xdr:rowOff>
    </xdr:to>
    <xdr:pic>
      <xdr:nvPicPr>
        <xdr:cNvPr id="329" name="Picture 32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420</xdr:row>
      <xdr:rowOff>47625</xdr:rowOff>
    </xdr:from>
    <xdr:to>
      <xdr:col>2</xdr:col>
      <xdr:colOff>771525</xdr:colOff>
      <xdr:row>423</xdr:row>
      <xdr:rowOff>9525</xdr:rowOff>
    </xdr:to>
    <xdr:pic>
      <xdr:nvPicPr>
        <xdr:cNvPr id="330" name="Picture 32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420</xdr:row>
      <xdr:rowOff>47625</xdr:rowOff>
    </xdr:from>
    <xdr:to>
      <xdr:col>9</xdr:col>
      <xdr:colOff>771525</xdr:colOff>
      <xdr:row>423</xdr:row>
      <xdr:rowOff>9525</xdr:rowOff>
    </xdr:to>
    <xdr:pic>
      <xdr:nvPicPr>
        <xdr:cNvPr id="331" name="Picture 33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450</xdr:row>
      <xdr:rowOff>47625</xdr:rowOff>
    </xdr:from>
    <xdr:to>
      <xdr:col>2</xdr:col>
      <xdr:colOff>771525</xdr:colOff>
      <xdr:row>453</xdr:row>
      <xdr:rowOff>9525</xdr:rowOff>
    </xdr:to>
    <xdr:pic>
      <xdr:nvPicPr>
        <xdr:cNvPr id="332" name="Picture 33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450</xdr:row>
      <xdr:rowOff>47625</xdr:rowOff>
    </xdr:from>
    <xdr:to>
      <xdr:col>9</xdr:col>
      <xdr:colOff>771525</xdr:colOff>
      <xdr:row>453</xdr:row>
      <xdr:rowOff>9525</xdr:rowOff>
    </xdr:to>
    <xdr:pic>
      <xdr:nvPicPr>
        <xdr:cNvPr id="333" name="Picture 33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480</xdr:row>
      <xdr:rowOff>47625</xdr:rowOff>
    </xdr:from>
    <xdr:to>
      <xdr:col>2</xdr:col>
      <xdr:colOff>771525</xdr:colOff>
      <xdr:row>483</xdr:row>
      <xdr:rowOff>9525</xdr:rowOff>
    </xdr:to>
    <xdr:pic>
      <xdr:nvPicPr>
        <xdr:cNvPr id="334" name="Picture 33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480</xdr:row>
      <xdr:rowOff>47625</xdr:rowOff>
    </xdr:from>
    <xdr:to>
      <xdr:col>9</xdr:col>
      <xdr:colOff>771525</xdr:colOff>
      <xdr:row>483</xdr:row>
      <xdr:rowOff>9525</xdr:rowOff>
    </xdr:to>
    <xdr:pic>
      <xdr:nvPicPr>
        <xdr:cNvPr id="335" name="Picture 33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510</xdr:row>
      <xdr:rowOff>47625</xdr:rowOff>
    </xdr:from>
    <xdr:to>
      <xdr:col>2</xdr:col>
      <xdr:colOff>771525</xdr:colOff>
      <xdr:row>513</xdr:row>
      <xdr:rowOff>9525</xdr:rowOff>
    </xdr:to>
    <xdr:pic>
      <xdr:nvPicPr>
        <xdr:cNvPr id="336" name="Picture 33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510</xdr:row>
      <xdr:rowOff>47625</xdr:rowOff>
    </xdr:from>
    <xdr:to>
      <xdr:col>9</xdr:col>
      <xdr:colOff>771525</xdr:colOff>
      <xdr:row>513</xdr:row>
      <xdr:rowOff>9525</xdr:rowOff>
    </xdr:to>
    <xdr:pic>
      <xdr:nvPicPr>
        <xdr:cNvPr id="337" name="Picture 33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540</xdr:row>
      <xdr:rowOff>47625</xdr:rowOff>
    </xdr:from>
    <xdr:to>
      <xdr:col>2</xdr:col>
      <xdr:colOff>771525</xdr:colOff>
      <xdr:row>543</xdr:row>
      <xdr:rowOff>9525</xdr:rowOff>
    </xdr:to>
    <xdr:pic>
      <xdr:nvPicPr>
        <xdr:cNvPr id="338" name="Picture 33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540</xdr:row>
      <xdr:rowOff>47625</xdr:rowOff>
    </xdr:from>
    <xdr:to>
      <xdr:col>9</xdr:col>
      <xdr:colOff>771525</xdr:colOff>
      <xdr:row>543</xdr:row>
      <xdr:rowOff>9525</xdr:rowOff>
    </xdr:to>
    <xdr:pic>
      <xdr:nvPicPr>
        <xdr:cNvPr id="339" name="Picture 33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570</xdr:row>
      <xdr:rowOff>47625</xdr:rowOff>
    </xdr:from>
    <xdr:to>
      <xdr:col>2</xdr:col>
      <xdr:colOff>771525</xdr:colOff>
      <xdr:row>573</xdr:row>
      <xdr:rowOff>9525</xdr:rowOff>
    </xdr:to>
    <xdr:pic>
      <xdr:nvPicPr>
        <xdr:cNvPr id="340" name="Picture 33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570</xdr:row>
      <xdr:rowOff>47625</xdr:rowOff>
    </xdr:from>
    <xdr:to>
      <xdr:col>9</xdr:col>
      <xdr:colOff>771525</xdr:colOff>
      <xdr:row>573</xdr:row>
      <xdr:rowOff>9525</xdr:rowOff>
    </xdr:to>
    <xdr:pic>
      <xdr:nvPicPr>
        <xdr:cNvPr id="341" name="Picture 34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600</xdr:row>
      <xdr:rowOff>47625</xdr:rowOff>
    </xdr:from>
    <xdr:to>
      <xdr:col>2</xdr:col>
      <xdr:colOff>771525</xdr:colOff>
      <xdr:row>603</xdr:row>
      <xdr:rowOff>9525</xdr:rowOff>
    </xdr:to>
    <xdr:pic>
      <xdr:nvPicPr>
        <xdr:cNvPr id="342" name="Picture 34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600</xdr:row>
      <xdr:rowOff>47625</xdr:rowOff>
    </xdr:from>
    <xdr:to>
      <xdr:col>9</xdr:col>
      <xdr:colOff>771525</xdr:colOff>
      <xdr:row>603</xdr:row>
      <xdr:rowOff>9525</xdr:rowOff>
    </xdr:to>
    <xdr:pic>
      <xdr:nvPicPr>
        <xdr:cNvPr id="343" name="Picture 34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630</xdr:row>
      <xdr:rowOff>47625</xdr:rowOff>
    </xdr:from>
    <xdr:to>
      <xdr:col>2</xdr:col>
      <xdr:colOff>771525</xdr:colOff>
      <xdr:row>633</xdr:row>
      <xdr:rowOff>9525</xdr:rowOff>
    </xdr:to>
    <xdr:pic>
      <xdr:nvPicPr>
        <xdr:cNvPr id="344" name="Picture 34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630</xdr:row>
      <xdr:rowOff>47625</xdr:rowOff>
    </xdr:from>
    <xdr:to>
      <xdr:col>9</xdr:col>
      <xdr:colOff>771525</xdr:colOff>
      <xdr:row>633</xdr:row>
      <xdr:rowOff>9525</xdr:rowOff>
    </xdr:to>
    <xdr:pic>
      <xdr:nvPicPr>
        <xdr:cNvPr id="345" name="Picture 34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660</xdr:row>
      <xdr:rowOff>47625</xdr:rowOff>
    </xdr:from>
    <xdr:to>
      <xdr:col>2</xdr:col>
      <xdr:colOff>771525</xdr:colOff>
      <xdr:row>663</xdr:row>
      <xdr:rowOff>9525</xdr:rowOff>
    </xdr:to>
    <xdr:pic>
      <xdr:nvPicPr>
        <xdr:cNvPr id="346" name="Picture 34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660</xdr:row>
      <xdr:rowOff>47625</xdr:rowOff>
    </xdr:from>
    <xdr:to>
      <xdr:col>9</xdr:col>
      <xdr:colOff>771525</xdr:colOff>
      <xdr:row>663</xdr:row>
      <xdr:rowOff>9525</xdr:rowOff>
    </xdr:to>
    <xdr:pic>
      <xdr:nvPicPr>
        <xdr:cNvPr id="347" name="Picture 34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690</xdr:row>
      <xdr:rowOff>47625</xdr:rowOff>
    </xdr:from>
    <xdr:to>
      <xdr:col>2</xdr:col>
      <xdr:colOff>771525</xdr:colOff>
      <xdr:row>693</xdr:row>
      <xdr:rowOff>9525</xdr:rowOff>
    </xdr:to>
    <xdr:pic>
      <xdr:nvPicPr>
        <xdr:cNvPr id="348" name="Picture 34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690</xdr:row>
      <xdr:rowOff>47625</xdr:rowOff>
    </xdr:from>
    <xdr:to>
      <xdr:col>9</xdr:col>
      <xdr:colOff>771525</xdr:colOff>
      <xdr:row>693</xdr:row>
      <xdr:rowOff>9525</xdr:rowOff>
    </xdr:to>
    <xdr:pic>
      <xdr:nvPicPr>
        <xdr:cNvPr id="349" name="Picture 34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720</xdr:row>
      <xdr:rowOff>47625</xdr:rowOff>
    </xdr:from>
    <xdr:to>
      <xdr:col>2</xdr:col>
      <xdr:colOff>771525</xdr:colOff>
      <xdr:row>723</xdr:row>
      <xdr:rowOff>9525</xdr:rowOff>
    </xdr:to>
    <xdr:pic>
      <xdr:nvPicPr>
        <xdr:cNvPr id="350" name="Picture 34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720</xdr:row>
      <xdr:rowOff>47625</xdr:rowOff>
    </xdr:from>
    <xdr:to>
      <xdr:col>9</xdr:col>
      <xdr:colOff>771525</xdr:colOff>
      <xdr:row>723</xdr:row>
      <xdr:rowOff>9525</xdr:rowOff>
    </xdr:to>
    <xdr:pic>
      <xdr:nvPicPr>
        <xdr:cNvPr id="351" name="Picture 35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750</xdr:row>
      <xdr:rowOff>47625</xdr:rowOff>
    </xdr:from>
    <xdr:to>
      <xdr:col>2</xdr:col>
      <xdr:colOff>771525</xdr:colOff>
      <xdr:row>753</xdr:row>
      <xdr:rowOff>9525</xdr:rowOff>
    </xdr:to>
    <xdr:pic>
      <xdr:nvPicPr>
        <xdr:cNvPr id="352" name="Picture 35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750</xdr:row>
      <xdr:rowOff>47625</xdr:rowOff>
    </xdr:from>
    <xdr:to>
      <xdr:col>9</xdr:col>
      <xdr:colOff>771525</xdr:colOff>
      <xdr:row>753</xdr:row>
      <xdr:rowOff>9525</xdr:rowOff>
    </xdr:to>
    <xdr:pic>
      <xdr:nvPicPr>
        <xdr:cNvPr id="353" name="Picture 35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780</xdr:row>
      <xdr:rowOff>47625</xdr:rowOff>
    </xdr:from>
    <xdr:to>
      <xdr:col>2</xdr:col>
      <xdr:colOff>771525</xdr:colOff>
      <xdr:row>783</xdr:row>
      <xdr:rowOff>9525</xdr:rowOff>
    </xdr:to>
    <xdr:pic>
      <xdr:nvPicPr>
        <xdr:cNvPr id="354" name="Picture 35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780</xdr:row>
      <xdr:rowOff>47625</xdr:rowOff>
    </xdr:from>
    <xdr:to>
      <xdr:col>9</xdr:col>
      <xdr:colOff>771525</xdr:colOff>
      <xdr:row>783</xdr:row>
      <xdr:rowOff>9525</xdr:rowOff>
    </xdr:to>
    <xdr:pic>
      <xdr:nvPicPr>
        <xdr:cNvPr id="355" name="Picture 35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810</xdr:row>
      <xdr:rowOff>47625</xdr:rowOff>
    </xdr:from>
    <xdr:to>
      <xdr:col>2</xdr:col>
      <xdr:colOff>771525</xdr:colOff>
      <xdr:row>813</xdr:row>
      <xdr:rowOff>9525</xdr:rowOff>
    </xdr:to>
    <xdr:pic>
      <xdr:nvPicPr>
        <xdr:cNvPr id="356" name="Picture 35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810</xdr:row>
      <xdr:rowOff>47625</xdr:rowOff>
    </xdr:from>
    <xdr:to>
      <xdr:col>9</xdr:col>
      <xdr:colOff>771525</xdr:colOff>
      <xdr:row>813</xdr:row>
      <xdr:rowOff>9525</xdr:rowOff>
    </xdr:to>
    <xdr:pic>
      <xdr:nvPicPr>
        <xdr:cNvPr id="357" name="Picture 35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840</xdr:row>
      <xdr:rowOff>47625</xdr:rowOff>
    </xdr:from>
    <xdr:to>
      <xdr:col>2</xdr:col>
      <xdr:colOff>771525</xdr:colOff>
      <xdr:row>843</xdr:row>
      <xdr:rowOff>9525</xdr:rowOff>
    </xdr:to>
    <xdr:pic>
      <xdr:nvPicPr>
        <xdr:cNvPr id="358" name="Picture 35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840</xdr:row>
      <xdr:rowOff>47625</xdr:rowOff>
    </xdr:from>
    <xdr:to>
      <xdr:col>9</xdr:col>
      <xdr:colOff>771525</xdr:colOff>
      <xdr:row>843</xdr:row>
      <xdr:rowOff>9525</xdr:rowOff>
    </xdr:to>
    <xdr:pic>
      <xdr:nvPicPr>
        <xdr:cNvPr id="359" name="Picture 35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870</xdr:row>
      <xdr:rowOff>47625</xdr:rowOff>
    </xdr:from>
    <xdr:to>
      <xdr:col>2</xdr:col>
      <xdr:colOff>771525</xdr:colOff>
      <xdr:row>873</xdr:row>
      <xdr:rowOff>9525</xdr:rowOff>
    </xdr:to>
    <xdr:pic>
      <xdr:nvPicPr>
        <xdr:cNvPr id="360" name="Picture 35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870</xdr:row>
      <xdr:rowOff>47625</xdr:rowOff>
    </xdr:from>
    <xdr:to>
      <xdr:col>9</xdr:col>
      <xdr:colOff>771525</xdr:colOff>
      <xdr:row>873</xdr:row>
      <xdr:rowOff>9525</xdr:rowOff>
    </xdr:to>
    <xdr:pic>
      <xdr:nvPicPr>
        <xdr:cNvPr id="361" name="Picture 36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900</xdr:row>
      <xdr:rowOff>47625</xdr:rowOff>
    </xdr:from>
    <xdr:to>
      <xdr:col>2</xdr:col>
      <xdr:colOff>771525</xdr:colOff>
      <xdr:row>903</xdr:row>
      <xdr:rowOff>9525</xdr:rowOff>
    </xdr:to>
    <xdr:pic>
      <xdr:nvPicPr>
        <xdr:cNvPr id="362" name="Picture 36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900</xdr:row>
      <xdr:rowOff>47625</xdr:rowOff>
    </xdr:from>
    <xdr:to>
      <xdr:col>9</xdr:col>
      <xdr:colOff>771525</xdr:colOff>
      <xdr:row>903</xdr:row>
      <xdr:rowOff>9525</xdr:rowOff>
    </xdr:to>
    <xdr:pic>
      <xdr:nvPicPr>
        <xdr:cNvPr id="363" name="Picture 36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930</xdr:row>
      <xdr:rowOff>47625</xdr:rowOff>
    </xdr:from>
    <xdr:to>
      <xdr:col>2</xdr:col>
      <xdr:colOff>771525</xdr:colOff>
      <xdr:row>933</xdr:row>
      <xdr:rowOff>9525</xdr:rowOff>
    </xdr:to>
    <xdr:pic>
      <xdr:nvPicPr>
        <xdr:cNvPr id="364" name="Picture 36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930</xdr:row>
      <xdr:rowOff>47625</xdr:rowOff>
    </xdr:from>
    <xdr:to>
      <xdr:col>9</xdr:col>
      <xdr:colOff>771525</xdr:colOff>
      <xdr:row>933</xdr:row>
      <xdr:rowOff>9525</xdr:rowOff>
    </xdr:to>
    <xdr:pic>
      <xdr:nvPicPr>
        <xdr:cNvPr id="365" name="Picture 36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960</xdr:row>
      <xdr:rowOff>47625</xdr:rowOff>
    </xdr:from>
    <xdr:to>
      <xdr:col>2</xdr:col>
      <xdr:colOff>771525</xdr:colOff>
      <xdr:row>963</xdr:row>
      <xdr:rowOff>9525</xdr:rowOff>
    </xdr:to>
    <xdr:pic>
      <xdr:nvPicPr>
        <xdr:cNvPr id="366" name="Picture 36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960</xdr:row>
      <xdr:rowOff>47625</xdr:rowOff>
    </xdr:from>
    <xdr:to>
      <xdr:col>9</xdr:col>
      <xdr:colOff>771525</xdr:colOff>
      <xdr:row>963</xdr:row>
      <xdr:rowOff>9525</xdr:rowOff>
    </xdr:to>
    <xdr:pic>
      <xdr:nvPicPr>
        <xdr:cNvPr id="367" name="Picture 36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990</xdr:row>
      <xdr:rowOff>47625</xdr:rowOff>
    </xdr:from>
    <xdr:to>
      <xdr:col>2</xdr:col>
      <xdr:colOff>771525</xdr:colOff>
      <xdr:row>993</xdr:row>
      <xdr:rowOff>9525</xdr:rowOff>
    </xdr:to>
    <xdr:pic>
      <xdr:nvPicPr>
        <xdr:cNvPr id="368" name="Picture 36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990</xdr:row>
      <xdr:rowOff>47625</xdr:rowOff>
    </xdr:from>
    <xdr:to>
      <xdr:col>9</xdr:col>
      <xdr:colOff>771525</xdr:colOff>
      <xdr:row>993</xdr:row>
      <xdr:rowOff>9525</xdr:rowOff>
    </xdr:to>
    <xdr:pic>
      <xdr:nvPicPr>
        <xdr:cNvPr id="369" name="Picture 36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1020</xdr:row>
      <xdr:rowOff>47625</xdr:rowOff>
    </xdr:from>
    <xdr:to>
      <xdr:col>2</xdr:col>
      <xdr:colOff>771525</xdr:colOff>
      <xdr:row>1023</xdr:row>
      <xdr:rowOff>9525</xdr:rowOff>
    </xdr:to>
    <xdr:pic>
      <xdr:nvPicPr>
        <xdr:cNvPr id="370" name="Picture 36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1020</xdr:row>
      <xdr:rowOff>47625</xdr:rowOff>
    </xdr:from>
    <xdr:to>
      <xdr:col>9</xdr:col>
      <xdr:colOff>771525</xdr:colOff>
      <xdr:row>1023</xdr:row>
      <xdr:rowOff>9525</xdr:rowOff>
    </xdr:to>
    <xdr:pic>
      <xdr:nvPicPr>
        <xdr:cNvPr id="371" name="Picture 37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1050</xdr:row>
      <xdr:rowOff>47625</xdr:rowOff>
    </xdr:from>
    <xdr:to>
      <xdr:col>2</xdr:col>
      <xdr:colOff>771525</xdr:colOff>
      <xdr:row>1053</xdr:row>
      <xdr:rowOff>9525</xdr:rowOff>
    </xdr:to>
    <xdr:pic>
      <xdr:nvPicPr>
        <xdr:cNvPr id="372" name="Picture 37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1050</xdr:row>
      <xdr:rowOff>47625</xdr:rowOff>
    </xdr:from>
    <xdr:to>
      <xdr:col>9</xdr:col>
      <xdr:colOff>771525</xdr:colOff>
      <xdr:row>1053</xdr:row>
      <xdr:rowOff>9525</xdr:rowOff>
    </xdr:to>
    <xdr:pic>
      <xdr:nvPicPr>
        <xdr:cNvPr id="373" name="Picture 37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1080</xdr:row>
      <xdr:rowOff>47625</xdr:rowOff>
    </xdr:from>
    <xdr:to>
      <xdr:col>2</xdr:col>
      <xdr:colOff>771525</xdr:colOff>
      <xdr:row>1083</xdr:row>
      <xdr:rowOff>9525</xdr:rowOff>
    </xdr:to>
    <xdr:pic>
      <xdr:nvPicPr>
        <xdr:cNvPr id="374" name="Picture 37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1080</xdr:row>
      <xdr:rowOff>47625</xdr:rowOff>
    </xdr:from>
    <xdr:to>
      <xdr:col>9</xdr:col>
      <xdr:colOff>771525</xdr:colOff>
      <xdr:row>1083</xdr:row>
      <xdr:rowOff>9525</xdr:rowOff>
    </xdr:to>
    <xdr:pic>
      <xdr:nvPicPr>
        <xdr:cNvPr id="375" name="Picture 37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1110</xdr:row>
      <xdr:rowOff>47625</xdr:rowOff>
    </xdr:from>
    <xdr:to>
      <xdr:col>2</xdr:col>
      <xdr:colOff>771525</xdr:colOff>
      <xdr:row>1113</xdr:row>
      <xdr:rowOff>9525</xdr:rowOff>
    </xdr:to>
    <xdr:pic>
      <xdr:nvPicPr>
        <xdr:cNvPr id="376" name="Picture 37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1110</xdr:row>
      <xdr:rowOff>47625</xdr:rowOff>
    </xdr:from>
    <xdr:to>
      <xdr:col>9</xdr:col>
      <xdr:colOff>771525</xdr:colOff>
      <xdr:row>1113</xdr:row>
      <xdr:rowOff>9525</xdr:rowOff>
    </xdr:to>
    <xdr:pic>
      <xdr:nvPicPr>
        <xdr:cNvPr id="377" name="Picture 37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1140</xdr:row>
      <xdr:rowOff>47625</xdr:rowOff>
    </xdr:from>
    <xdr:to>
      <xdr:col>2</xdr:col>
      <xdr:colOff>771525</xdr:colOff>
      <xdr:row>1143</xdr:row>
      <xdr:rowOff>9525</xdr:rowOff>
    </xdr:to>
    <xdr:pic>
      <xdr:nvPicPr>
        <xdr:cNvPr id="378" name="Picture 37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1140</xdr:row>
      <xdr:rowOff>47625</xdr:rowOff>
    </xdr:from>
    <xdr:to>
      <xdr:col>9</xdr:col>
      <xdr:colOff>771525</xdr:colOff>
      <xdr:row>1143</xdr:row>
      <xdr:rowOff>9525</xdr:rowOff>
    </xdr:to>
    <xdr:pic>
      <xdr:nvPicPr>
        <xdr:cNvPr id="379" name="Picture 37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1170</xdr:row>
      <xdr:rowOff>47625</xdr:rowOff>
    </xdr:from>
    <xdr:to>
      <xdr:col>2</xdr:col>
      <xdr:colOff>771525</xdr:colOff>
      <xdr:row>1173</xdr:row>
      <xdr:rowOff>9525</xdr:rowOff>
    </xdr:to>
    <xdr:pic>
      <xdr:nvPicPr>
        <xdr:cNvPr id="380" name="Picture 37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1170</xdr:row>
      <xdr:rowOff>47625</xdr:rowOff>
    </xdr:from>
    <xdr:to>
      <xdr:col>9</xdr:col>
      <xdr:colOff>771525</xdr:colOff>
      <xdr:row>1173</xdr:row>
      <xdr:rowOff>9525</xdr:rowOff>
    </xdr:to>
    <xdr:pic>
      <xdr:nvPicPr>
        <xdr:cNvPr id="381" name="Picture 38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1200</xdr:row>
      <xdr:rowOff>47625</xdr:rowOff>
    </xdr:from>
    <xdr:to>
      <xdr:col>2</xdr:col>
      <xdr:colOff>771525</xdr:colOff>
      <xdr:row>1203</xdr:row>
      <xdr:rowOff>9525</xdr:rowOff>
    </xdr:to>
    <xdr:pic>
      <xdr:nvPicPr>
        <xdr:cNvPr id="382" name="Picture 38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1200</xdr:row>
      <xdr:rowOff>47625</xdr:rowOff>
    </xdr:from>
    <xdr:to>
      <xdr:col>9</xdr:col>
      <xdr:colOff>771525</xdr:colOff>
      <xdr:row>1203</xdr:row>
      <xdr:rowOff>9525</xdr:rowOff>
    </xdr:to>
    <xdr:pic>
      <xdr:nvPicPr>
        <xdr:cNvPr id="383" name="Picture 38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1230</xdr:row>
      <xdr:rowOff>47625</xdr:rowOff>
    </xdr:from>
    <xdr:to>
      <xdr:col>2</xdr:col>
      <xdr:colOff>771525</xdr:colOff>
      <xdr:row>1233</xdr:row>
      <xdr:rowOff>9525</xdr:rowOff>
    </xdr:to>
    <xdr:pic>
      <xdr:nvPicPr>
        <xdr:cNvPr id="384" name="Picture 38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1230</xdr:row>
      <xdr:rowOff>47625</xdr:rowOff>
    </xdr:from>
    <xdr:to>
      <xdr:col>9</xdr:col>
      <xdr:colOff>771525</xdr:colOff>
      <xdr:row>1233</xdr:row>
      <xdr:rowOff>9525</xdr:rowOff>
    </xdr:to>
    <xdr:pic>
      <xdr:nvPicPr>
        <xdr:cNvPr id="385" name="Picture 38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1260</xdr:row>
      <xdr:rowOff>47625</xdr:rowOff>
    </xdr:from>
    <xdr:to>
      <xdr:col>2</xdr:col>
      <xdr:colOff>771525</xdr:colOff>
      <xdr:row>1263</xdr:row>
      <xdr:rowOff>9525</xdr:rowOff>
    </xdr:to>
    <xdr:pic>
      <xdr:nvPicPr>
        <xdr:cNvPr id="386" name="Picture 38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1260</xdr:row>
      <xdr:rowOff>47625</xdr:rowOff>
    </xdr:from>
    <xdr:to>
      <xdr:col>9</xdr:col>
      <xdr:colOff>771525</xdr:colOff>
      <xdr:row>1263</xdr:row>
      <xdr:rowOff>9525</xdr:rowOff>
    </xdr:to>
    <xdr:pic>
      <xdr:nvPicPr>
        <xdr:cNvPr id="387" name="Picture 38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1290</xdr:row>
      <xdr:rowOff>47625</xdr:rowOff>
    </xdr:from>
    <xdr:to>
      <xdr:col>2</xdr:col>
      <xdr:colOff>771525</xdr:colOff>
      <xdr:row>1293</xdr:row>
      <xdr:rowOff>9525</xdr:rowOff>
    </xdr:to>
    <xdr:pic>
      <xdr:nvPicPr>
        <xdr:cNvPr id="388" name="Picture 38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1290</xdr:row>
      <xdr:rowOff>47625</xdr:rowOff>
    </xdr:from>
    <xdr:to>
      <xdr:col>9</xdr:col>
      <xdr:colOff>771525</xdr:colOff>
      <xdr:row>1293</xdr:row>
      <xdr:rowOff>9525</xdr:rowOff>
    </xdr:to>
    <xdr:pic>
      <xdr:nvPicPr>
        <xdr:cNvPr id="389" name="Picture 38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1320</xdr:row>
      <xdr:rowOff>47625</xdr:rowOff>
    </xdr:from>
    <xdr:to>
      <xdr:col>2</xdr:col>
      <xdr:colOff>771525</xdr:colOff>
      <xdr:row>1323</xdr:row>
      <xdr:rowOff>9525</xdr:rowOff>
    </xdr:to>
    <xdr:pic>
      <xdr:nvPicPr>
        <xdr:cNvPr id="390" name="Picture 38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1320</xdr:row>
      <xdr:rowOff>47625</xdr:rowOff>
    </xdr:from>
    <xdr:to>
      <xdr:col>9</xdr:col>
      <xdr:colOff>771525</xdr:colOff>
      <xdr:row>1323</xdr:row>
      <xdr:rowOff>9525</xdr:rowOff>
    </xdr:to>
    <xdr:pic>
      <xdr:nvPicPr>
        <xdr:cNvPr id="391" name="Picture 39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1350</xdr:row>
      <xdr:rowOff>47625</xdr:rowOff>
    </xdr:from>
    <xdr:to>
      <xdr:col>2</xdr:col>
      <xdr:colOff>771525</xdr:colOff>
      <xdr:row>1353</xdr:row>
      <xdr:rowOff>9525</xdr:rowOff>
    </xdr:to>
    <xdr:pic>
      <xdr:nvPicPr>
        <xdr:cNvPr id="392" name="Picture 39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1350</xdr:row>
      <xdr:rowOff>47625</xdr:rowOff>
    </xdr:from>
    <xdr:to>
      <xdr:col>9</xdr:col>
      <xdr:colOff>771525</xdr:colOff>
      <xdr:row>1353</xdr:row>
      <xdr:rowOff>9525</xdr:rowOff>
    </xdr:to>
    <xdr:pic>
      <xdr:nvPicPr>
        <xdr:cNvPr id="393" name="Picture 39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1380</xdr:row>
      <xdr:rowOff>47625</xdr:rowOff>
    </xdr:from>
    <xdr:to>
      <xdr:col>2</xdr:col>
      <xdr:colOff>771525</xdr:colOff>
      <xdr:row>1383</xdr:row>
      <xdr:rowOff>9525</xdr:rowOff>
    </xdr:to>
    <xdr:pic>
      <xdr:nvPicPr>
        <xdr:cNvPr id="394" name="Picture 39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1380</xdr:row>
      <xdr:rowOff>47625</xdr:rowOff>
    </xdr:from>
    <xdr:to>
      <xdr:col>9</xdr:col>
      <xdr:colOff>771525</xdr:colOff>
      <xdr:row>1383</xdr:row>
      <xdr:rowOff>9525</xdr:rowOff>
    </xdr:to>
    <xdr:pic>
      <xdr:nvPicPr>
        <xdr:cNvPr id="395" name="Picture 39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1410</xdr:row>
      <xdr:rowOff>47625</xdr:rowOff>
    </xdr:from>
    <xdr:to>
      <xdr:col>2</xdr:col>
      <xdr:colOff>771525</xdr:colOff>
      <xdr:row>1413</xdr:row>
      <xdr:rowOff>9525</xdr:rowOff>
    </xdr:to>
    <xdr:pic>
      <xdr:nvPicPr>
        <xdr:cNvPr id="396" name="Picture 39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1410</xdr:row>
      <xdr:rowOff>47625</xdr:rowOff>
    </xdr:from>
    <xdr:to>
      <xdr:col>9</xdr:col>
      <xdr:colOff>771525</xdr:colOff>
      <xdr:row>1413</xdr:row>
      <xdr:rowOff>9525</xdr:rowOff>
    </xdr:to>
    <xdr:pic>
      <xdr:nvPicPr>
        <xdr:cNvPr id="397" name="Picture 39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1440</xdr:row>
      <xdr:rowOff>47625</xdr:rowOff>
    </xdr:from>
    <xdr:to>
      <xdr:col>2</xdr:col>
      <xdr:colOff>771525</xdr:colOff>
      <xdr:row>1443</xdr:row>
      <xdr:rowOff>9525</xdr:rowOff>
    </xdr:to>
    <xdr:pic>
      <xdr:nvPicPr>
        <xdr:cNvPr id="398" name="Picture 39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1440</xdr:row>
      <xdr:rowOff>47625</xdr:rowOff>
    </xdr:from>
    <xdr:to>
      <xdr:col>9</xdr:col>
      <xdr:colOff>771525</xdr:colOff>
      <xdr:row>1443</xdr:row>
      <xdr:rowOff>9525</xdr:rowOff>
    </xdr:to>
    <xdr:pic>
      <xdr:nvPicPr>
        <xdr:cNvPr id="399" name="Picture 39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1470</xdr:row>
      <xdr:rowOff>47625</xdr:rowOff>
    </xdr:from>
    <xdr:to>
      <xdr:col>2</xdr:col>
      <xdr:colOff>771525</xdr:colOff>
      <xdr:row>1473</xdr:row>
      <xdr:rowOff>9525</xdr:rowOff>
    </xdr:to>
    <xdr:pic>
      <xdr:nvPicPr>
        <xdr:cNvPr id="400" name="Picture 39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1470</xdr:row>
      <xdr:rowOff>47625</xdr:rowOff>
    </xdr:from>
    <xdr:to>
      <xdr:col>9</xdr:col>
      <xdr:colOff>771525</xdr:colOff>
      <xdr:row>1473</xdr:row>
      <xdr:rowOff>9525</xdr:rowOff>
    </xdr:to>
    <xdr:pic>
      <xdr:nvPicPr>
        <xdr:cNvPr id="401" name="Picture 40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0</xdr:row>
      <xdr:rowOff>47625</xdr:rowOff>
    </xdr:from>
    <xdr:to>
      <xdr:col>2</xdr:col>
      <xdr:colOff>771525</xdr:colOff>
      <xdr:row>3</xdr:row>
      <xdr:rowOff>9525</xdr:rowOff>
    </xdr:to>
    <xdr:pic>
      <xdr:nvPicPr>
        <xdr:cNvPr id="402" name="Picture 40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47625</xdr:rowOff>
    </xdr:from>
    <xdr:to>
      <xdr:col>9</xdr:col>
      <xdr:colOff>771525</xdr:colOff>
      <xdr:row>3</xdr:row>
      <xdr:rowOff>9525</xdr:rowOff>
    </xdr:to>
    <xdr:pic>
      <xdr:nvPicPr>
        <xdr:cNvPr id="403" name="Picture 40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47625</xdr:rowOff>
    </xdr:from>
    <xdr:to>
      <xdr:col>2</xdr:col>
      <xdr:colOff>771525</xdr:colOff>
      <xdr:row>33</xdr:row>
      <xdr:rowOff>9525</xdr:rowOff>
    </xdr:to>
    <xdr:pic>
      <xdr:nvPicPr>
        <xdr:cNvPr id="404" name="Picture 40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</xdr:row>
      <xdr:rowOff>47625</xdr:rowOff>
    </xdr:from>
    <xdr:to>
      <xdr:col>9</xdr:col>
      <xdr:colOff>771525</xdr:colOff>
      <xdr:row>33</xdr:row>
      <xdr:rowOff>9525</xdr:rowOff>
    </xdr:to>
    <xdr:pic>
      <xdr:nvPicPr>
        <xdr:cNvPr id="405" name="Picture 40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</xdr:row>
      <xdr:rowOff>47625</xdr:rowOff>
    </xdr:from>
    <xdr:to>
      <xdr:col>2</xdr:col>
      <xdr:colOff>771525</xdr:colOff>
      <xdr:row>63</xdr:row>
      <xdr:rowOff>9525</xdr:rowOff>
    </xdr:to>
    <xdr:pic>
      <xdr:nvPicPr>
        <xdr:cNvPr id="406" name="Picture 40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</xdr:row>
      <xdr:rowOff>47625</xdr:rowOff>
    </xdr:from>
    <xdr:to>
      <xdr:col>9</xdr:col>
      <xdr:colOff>771525</xdr:colOff>
      <xdr:row>63</xdr:row>
      <xdr:rowOff>9525</xdr:rowOff>
    </xdr:to>
    <xdr:pic>
      <xdr:nvPicPr>
        <xdr:cNvPr id="407" name="Picture 40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</xdr:row>
      <xdr:rowOff>47625</xdr:rowOff>
    </xdr:from>
    <xdr:to>
      <xdr:col>2</xdr:col>
      <xdr:colOff>771525</xdr:colOff>
      <xdr:row>93</xdr:row>
      <xdr:rowOff>9525</xdr:rowOff>
    </xdr:to>
    <xdr:pic>
      <xdr:nvPicPr>
        <xdr:cNvPr id="408" name="Picture 40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</xdr:row>
      <xdr:rowOff>47625</xdr:rowOff>
    </xdr:from>
    <xdr:to>
      <xdr:col>9</xdr:col>
      <xdr:colOff>771525</xdr:colOff>
      <xdr:row>93</xdr:row>
      <xdr:rowOff>9525</xdr:rowOff>
    </xdr:to>
    <xdr:pic>
      <xdr:nvPicPr>
        <xdr:cNvPr id="409" name="Picture 40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</xdr:row>
      <xdr:rowOff>47625</xdr:rowOff>
    </xdr:from>
    <xdr:to>
      <xdr:col>2</xdr:col>
      <xdr:colOff>771525</xdr:colOff>
      <xdr:row>123</xdr:row>
      <xdr:rowOff>9525</xdr:rowOff>
    </xdr:to>
    <xdr:pic>
      <xdr:nvPicPr>
        <xdr:cNvPr id="410" name="Picture 40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</xdr:row>
      <xdr:rowOff>47625</xdr:rowOff>
    </xdr:from>
    <xdr:to>
      <xdr:col>9</xdr:col>
      <xdr:colOff>771525</xdr:colOff>
      <xdr:row>123</xdr:row>
      <xdr:rowOff>9525</xdr:rowOff>
    </xdr:to>
    <xdr:pic>
      <xdr:nvPicPr>
        <xdr:cNvPr id="411" name="Picture 41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9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150</xdr:row>
      <xdr:rowOff>47625</xdr:rowOff>
    </xdr:from>
    <xdr:to>
      <xdr:col>2</xdr:col>
      <xdr:colOff>771525</xdr:colOff>
      <xdr:row>153</xdr:row>
      <xdr:rowOff>9525</xdr:rowOff>
    </xdr:to>
    <xdr:pic>
      <xdr:nvPicPr>
        <xdr:cNvPr id="412" name="Picture 41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150</xdr:row>
      <xdr:rowOff>47625</xdr:rowOff>
    </xdr:from>
    <xdr:to>
      <xdr:col>9</xdr:col>
      <xdr:colOff>771525</xdr:colOff>
      <xdr:row>153</xdr:row>
      <xdr:rowOff>9525</xdr:rowOff>
    </xdr:to>
    <xdr:pic>
      <xdr:nvPicPr>
        <xdr:cNvPr id="413" name="Picture 41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6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180</xdr:row>
      <xdr:rowOff>47625</xdr:rowOff>
    </xdr:from>
    <xdr:to>
      <xdr:col>2</xdr:col>
      <xdr:colOff>771525</xdr:colOff>
      <xdr:row>183</xdr:row>
      <xdr:rowOff>9525</xdr:rowOff>
    </xdr:to>
    <xdr:pic>
      <xdr:nvPicPr>
        <xdr:cNvPr id="414" name="Picture 41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180</xdr:row>
      <xdr:rowOff>47625</xdr:rowOff>
    </xdr:from>
    <xdr:to>
      <xdr:col>9</xdr:col>
      <xdr:colOff>771525</xdr:colOff>
      <xdr:row>183</xdr:row>
      <xdr:rowOff>9525</xdr:rowOff>
    </xdr:to>
    <xdr:pic>
      <xdr:nvPicPr>
        <xdr:cNvPr id="415" name="Picture 41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343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210</xdr:row>
      <xdr:rowOff>47625</xdr:rowOff>
    </xdr:from>
    <xdr:to>
      <xdr:col>2</xdr:col>
      <xdr:colOff>771525</xdr:colOff>
      <xdr:row>213</xdr:row>
      <xdr:rowOff>9525</xdr:rowOff>
    </xdr:to>
    <xdr:pic>
      <xdr:nvPicPr>
        <xdr:cNvPr id="416" name="Picture 41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210</xdr:row>
      <xdr:rowOff>47625</xdr:rowOff>
    </xdr:from>
    <xdr:to>
      <xdr:col>9</xdr:col>
      <xdr:colOff>771525</xdr:colOff>
      <xdr:row>213</xdr:row>
      <xdr:rowOff>9525</xdr:rowOff>
    </xdr:to>
    <xdr:pic>
      <xdr:nvPicPr>
        <xdr:cNvPr id="417" name="Picture 41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00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240</xdr:row>
      <xdr:rowOff>47625</xdr:rowOff>
    </xdr:from>
    <xdr:to>
      <xdr:col>2</xdr:col>
      <xdr:colOff>771525</xdr:colOff>
      <xdr:row>243</xdr:row>
      <xdr:rowOff>9525</xdr:rowOff>
    </xdr:to>
    <xdr:pic>
      <xdr:nvPicPr>
        <xdr:cNvPr id="418" name="Picture 41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240</xdr:row>
      <xdr:rowOff>47625</xdr:rowOff>
    </xdr:from>
    <xdr:to>
      <xdr:col>9</xdr:col>
      <xdr:colOff>771525</xdr:colOff>
      <xdr:row>243</xdr:row>
      <xdr:rowOff>9525</xdr:rowOff>
    </xdr:to>
    <xdr:pic>
      <xdr:nvPicPr>
        <xdr:cNvPr id="419" name="Picture 41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457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270</xdr:row>
      <xdr:rowOff>47625</xdr:rowOff>
    </xdr:from>
    <xdr:to>
      <xdr:col>2</xdr:col>
      <xdr:colOff>771525</xdr:colOff>
      <xdr:row>273</xdr:row>
      <xdr:rowOff>9525</xdr:rowOff>
    </xdr:to>
    <xdr:pic>
      <xdr:nvPicPr>
        <xdr:cNvPr id="420" name="Picture 41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270</xdr:row>
      <xdr:rowOff>47625</xdr:rowOff>
    </xdr:from>
    <xdr:to>
      <xdr:col>9</xdr:col>
      <xdr:colOff>771525</xdr:colOff>
      <xdr:row>273</xdr:row>
      <xdr:rowOff>9525</xdr:rowOff>
    </xdr:to>
    <xdr:pic>
      <xdr:nvPicPr>
        <xdr:cNvPr id="421" name="Picture 42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14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300</xdr:row>
      <xdr:rowOff>47625</xdr:rowOff>
    </xdr:from>
    <xdr:to>
      <xdr:col>2</xdr:col>
      <xdr:colOff>771525</xdr:colOff>
      <xdr:row>303</xdr:row>
      <xdr:rowOff>9525</xdr:rowOff>
    </xdr:to>
    <xdr:pic>
      <xdr:nvPicPr>
        <xdr:cNvPr id="422" name="Picture 42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300</xdr:row>
      <xdr:rowOff>47625</xdr:rowOff>
    </xdr:from>
    <xdr:to>
      <xdr:col>9</xdr:col>
      <xdr:colOff>771525</xdr:colOff>
      <xdr:row>303</xdr:row>
      <xdr:rowOff>9525</xdr:rowOff>
    </xdr:to>
    <xdr:pic>
      <xdr:nvPicPr>
        <xdr:cNvPr id="423" name="Picture 42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571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330</xdr:row>
      <xdr:rowOff>47625</xdr:rowOff>
    </xdr:from>
    <xdr:to>
      <xdr:col>2</xdr:col>
      <xdr:colOff>771525</xdr:colOff>
      <xdr:row>333</xdr:row>
      <xdr:rowOff>9525</xdr:rowOff>
    </xdr:to>
    <xdr:pic>
      <xdr:nvPicPr>
        <xdr:cNvPr id="424" name="Picture 42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330</xdr:row>
      <xdr:rowOff>47625</xdr:rowOff>
    </xdr:from>
    <xdr:to>
      <xdr:col>9</xdr:col>
      <xdr:colOff>771525</xdr:colOff>
      <xdr:row>333</xdr:row>
      <xdr:rowOff>9525</xdr:rowOff>
    </xdr:to>
    <xdr:pic>
      <xdr:nvPicPr>
        <xdr:cNvPr id="425" name="Picture 42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29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360</xdr:row>
      <xdr:rowOff>47625</xdr:rowOff>
    </xdr:from>
    <xdr:to>
      <xdr:col>2</xdr:col>
      <xdr:colOff>771525</xdr:colOff>
      <xdr:row>363</xdr:row>
      <xdr:rowOff>9525</xdr:rowOff>
    </xdr:to>
    <xdr:pic>
      <xdr:nvPicPr>
        <xdr:cNvPr id="426" name="Picture 42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360</xdr:row>
      <xdr:rowOff>47625</xdr:rowOff>
    </xdr:from>
    <xdr:to>
      <xdr:col>9</xdr:col>
      <xdr:colOff>771525</xdr:colOff>
      <xdr:row>363</xdr:row>
      <xdr:rowOff>9525</xdr:rowOff>
    </xdr:to>
    <xdr:pic>
      <xdr:nvPicPr>
        <xdr:cNvPr id="427" name="Picture 42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686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390</xdr:row>
      <xdr:rowOff>47625</xdr:rowOff>
    </xdr:from>
    <xdr:to>
      <xdr:col>2</xdr:col>
      <xdr:colOff>771525</xdr:colOff>
      <xdr:row>393</xdr:row>
      <xdr:rowOff>9525</xdr:rowOff>
    </xdr:to>
    <xdr:pic>
      <xdr:nvPicPr>
        <xdr:cNvPr id="428" name="Picture 42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390</xdr:row>
      <xdr:rowOff>47625</xdr:rowOff>
    </xdr:from>
    <xdr:to>
      <xdr:col>9</xdr:col>
      <xdr:colOff>771525</xdr:colOff>
      <xdr:row>393</xdr:row>
      <xdr:rowOff>9525</xdr:rowOff>
    </xdr:to>
    <xdr:pic>
      <xdr:nvPicPr>
        <xdr:cNvPr id="429" name="Picture 42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743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420</xdr:row>
      <xdr:rowOff>47625</xdr:rowOff>
    </xdr:from>
    <xdr:to>
      <xdr:col>2</xdr:col>
      <xdr:colOff>771525</xdr:colOff>
      <xdr:row>423</xdr:row>
      <xdr:rowOff>9525</xdr:rowOff>
    </xdr:to>
    <xdr:pic>
      <xdr:nvPicPr>
        <xdr:cNvPr id="430" name="Picture 42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420</xdr:row>
      <xdr:rowOff>47625</xdr:rowOff>
    </xdr:from>
    <xdr:to>
      <xdr:col>9</xdr:col>
      <xdr:colOff>771525</xdr:colOff>
      <xdr:row>423</xdr:row>
      <xdr:rowOff>9525</xdr:rowOff>
    </xdr:to>
    <xdr:pic>
      <xdr:nvPicPr>
        <xdr:cNvPr id="431" name="Picture 43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00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450</xdr:row>
      <xdr:rowOff>47625</xdr:rowOff>
    </xdr:from>
    <xdr:to>
      <xdr:col>2</xdr:col>
      <xdr:colOff>771525</xdr:colOff>
      <xdr:row>453</xdr:row>
      <xdr:rowOff>9525</xdr:rowOff>
    </xdr:to>
    <xdr:pic>
      <xdr:nvPicPr>
        <xdr:cNvPr id="432" name="Picture 43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450</xdr:row>
      <xdr:rowOff>47625</xdr:rowOff>
    </xdr:from>
    <xdr:to>
      <xdr:col>9</xdr:col>
      <xdr:colOff>771525</xdr:colOff>
      <xdr:row>453</xdr:row>
      <xdr:rowOff>9525</xdr:rowOff>
    </xdr:to>
    <xdr:pic>
      <xdr:nvPicPr>
        <xdr:cNvPr id="433" name="Picture 43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857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480</xdr:row>
      <xdr:rowOff>47625</xdr:rowOff>
    </xdr:from>
    <xdr:to>
      <xdr:col>2</xdr:col>
      <xdr:colOff>771525</xdr:colOff>
      <xdr:row>483</xdr:row>
      <xdr:rowOff>9525</xdr:rowOff>
    </xdr:to>
    <xdr:pic>
      <xdr:nvPicPr>
        <xdr:cNvPr id="434" name="Picture 43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480</xdr:row>
      <xdr:rowOff>47625</xdr:rowOff>
    </xdr:from>
    <xdr:to>
      <xdr:col>9</xdr:col>
      <xdr:colOff>771525</xdr:colOff>
      <xdr:row>483</xdr:row>
      <xdr:rowOff>9525</xdr:rowOff>
    </xdr:to>
    <xdr:pic>
      <xdr:nvPicPr>
        <xdr:cNvPr id="435" name="Picture 43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14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510</xdr:row>
      <xdr:rowOff>47625</xdr:rowOff>
    </xdr:from>
    <xdr:to>
      <xdr:col>2</xdr:col>
      <xdr:colOff>771525</xdr:colOff>
      <xdr:row>513</xdr:row>
      <xdr:rowOff>9525</xdr:rowOff>
    </xdr:to>
    <xdr:pic>
      <xdr:nvPicPr>
        <xdr:cNvPr id="436" name="Picture 43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510</xdr:row>
      <xdr:rowOff>47625</xdr:rowOff>
    </xdr:from>
    <xdr:to>
      <xdr:col>9</xdr:col>
      <xdr:colOff>771525</xdr:colOff>
      <xdr:row>513</xdr:row>
      <xdr:rowOff>9525</xdr:rowOff>
    </xdr:to>
    <xdr:pic>
      <xdr:nvPicPr>
        <xdr:cNvPr id="437" name="Picture 43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72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540</xdr:row>
      <xdr:rowOff>47625</xdr:rowOff>
    </xdr:from>
    <xdr:to>
      <xdr:col>2</xdr:col>
      <xdr:colOff>771525</xdr:colOff>
      <xdr:row>543</xdr:row>
      <xdr:rowOff>9525</xdr:rowOff>
    </xdr:to>
    <xdr:pic>
      <xdr:nvPicPr>
        <xdr:cNvPr id="438" name="Picture 43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540</xdr:row>
      <xdr:rowOff>47625</xdr:rowOff>
    </xdr:from>
    <xdr:to>
      <xdr:col>9</xdr:col>
      <xdr:colOff>771525</xdr:colOff>
      <xdr:row>543</xdr:row>
      <xdr:rowOff>9525</xdr:rowOff>
    </xdr:to>
    <xdr:pic>
      <xdr:nvPicPr>
        <xdr:cNvPr id="439" name="Picture 43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29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570</xdr:row>
      <xdr:rowOff>47625</xdr:rowOff>
    </xdr:from>
    <xdr:to>
      <xdr:col>2</xdr:col>
      <xdr:colOff>771525</xdr:colOff>
      <xdr:row>573</xdr:row>
      <xdr:rowOff>9525</xdr:rowOff>
    </xdr:to>
    <xdr:pic>
      <xdr:nvPicPr>
        <xdr:cNvPr id="440" name="Picture 43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570</xdr:row>
      <xdr:rowOff>47625</xdr:rowOff>
    </xdr:from>
    <xdr:to>
      <xdr:col>9</xdr:col>
      <xdr:colOff>771525</xdr:colOff>
      <xdr:row>573</xdr:row>
      <xdr:rowOff>9525</xdr:rowOff>
    </xdr:to>
    <xdr:pic>
      <xdr:nvPicPr>
        <xdr:cNvPr id="441" name="Picture 44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086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600</xdr:row>
      <xdr:rowOff>47625</xdr:rowOff>
    </xdr:from>
    <xdr:to>
      <xdr:col>2</xdr:col>
      <xdr:colOff>771525</xdr:colOff>
      <xdr:row>603</xdr:row>
      <xdr:rowOff>9525</xdr:rowOff>
    </xdr:to>
    <xdr:pic>
      <xdr:nvPicPr>
        <xdr:cNvPr id="442" name="Picture 44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600</xdr:row>
      <xdr:rowOff>47625</xdr:rowOff>
    </xdr:from>
    <xdr:to>
      <xdr:col>9</xdr:col>
      <xdr:colOff>771525</xdr:colOff>
      <xdr:row>603</xdr:row>
      <xdr:rowOff>9525</xdr:rowOff>
    </xdr:to>
    <xdr:pic>
      <xdr:nvPicPr>
        <xdr:cNvPr id="443" name="Picture 44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143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630</xdr:row>
      <xdr:rowOff>47625</xdr:rowOff>
    </xdr:from>
    <xdr:to>
      <xdr:col>2</xdr:col>
      <xdr:colOff>771525</xdr:colOff>
      <xdr:row>633</xdr:row>
      <xdr:rowOff>9525</xdr:rowOff>
    </xdr:to>
    <xdr:pic>
      <xdr:nvPicPr>
        <xdr:cNvPr id="444" name="Picture 44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630</xdr:row>
      <xdr:rowOff>47625</xdr:rowOff>
    </xdr:from>
    <xdr:to>
      <xdr:col>9</xdr:col>
      <xdr:colOff>771525</xdr:colOff>
      <xdr:row>633</xdr:row>
      <xdr:rowOff>9525</xdr:rowOff>
    </xdr:to>
    <xdr:pic>
      <xdr:nvPicPr>
        <xdr:cNvPr id="445" name="Picture 44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00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660</xdr:row>
      <xdr:rowOff>47625</xdr:rowOff>
    </xdr:from>
    <xdr:to>
      <xdr:col>2</xdr:col>
      <xdr:colOff>771525</xdr:colOff>
      <xdr:row>663</xdr:row>
      <xdr:rowOff>9525</xdr:rowOff>
    </xdr:to>
    <xdr:pic>
      <xdr:nvPicPr>
        <xdr:cNvPr id="446" name="Picture 44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660</xdr:row>
      <xdr:rowOff>47625</xdr:rowOff>
    </xdr:from>
    <xdr:to>
      <xdr:col>9</xdr:col>
      <xdr:colOff>771525</xdr:colOff>
      <xdr:row>663</xdr:row>
      <xdr:rowOff>9525</xdr:rowOff>
    </xdr:to>
    <xdr:pic>
      <xdr:nvPicPr>
        <xdr:cNvPr id="447" name="Picture 44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257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690</xdr:row>
      <xdr:rowOff>47625</xdr:rowOff>
    </xdr:from>
    <xdr:to>
      <xdr:col>2</xdr:col>
      <xdr:colOff>771525</xdr:colOff>
      <xdr:row>693</xdr:row>
      <xdr:rowOff>9525</xdr:rowOff>
    </xdr:to>
    <xdr:pic>
      <xdr:nvPicPr>
        <xdr:cNvPr id="448" name="Picture 44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690</xdr:row>
      <xdr:rowOff>47625</xdr:rowOff>
    </xdr:from>
    <xdr:to>
      <xdr:col>9</xdr:col>
      <xdr:colOff>771525</xdr:colOff>
      <xdr:row>693</xdr:row>
      <xdr:rowOff>9525</xdr:rowOff>
    </xdr:to>
    <xdr:pic>
      <xdr:nvPicPr>
        <xdr:cNvPr id="449" name="Picture 44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14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720</xdr:row>
      <xdr:rowOff>47625</xdr:rowOff>
    </xdr:from>
    <xdr:to>
      <xdr:col>2</xdr:col>
      <xdr:colOff>771525</xdr:colOff>
      <xdr:row>723</xdr:row>
      <xdr:rowOff>9525</xdr:rowOff>
    </xdr:to>
    <xdr:pic>
      <xdr:nvPicPr>
        <xdr:cNvPr id="450" name="Picture 44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720</xdr:row>
      <xdr:rowOff>47625</xdr:rowOff>
    </xdr:from>
    <xdr:to>
      <xdr:col>9</xdr:col>
      <xdr:colOff>771525</xdr:colOff>
      <xdr:row>723</xdr:row>
      <xdr:rowOff>9525</xdr:rowOff>
    </xdr:to>
    <xdr:pic>
      <xdr:nvPicPr>
        <xdr:cNvPr id="451" name="Picture 45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372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750</xdr:row>
      <xdr:rowOff>47625</xdr:rowOff>
    </xdr:from>
    <xdr:to>
      <xdr:col>2</xdr:col>
      <xdr:colOff>771525</xdr:colOff>
      <xdr:row>753</xdr:row>
      <xdr:rowOff>9525</xdr:rowOff>
    </xdr:to>
    <xdr:pic>
      <xdr:nvPicPr>
        <xdr:cNvPr id="452" name="Picture 45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750</xdr:row>
      <xdr:rowOff>47625</xdr:rowOff>
    </xdr:from>
    <xdr:to>
      <xdr:col>9</xdr:col>
      <xdr:colOff>771525</xdr:colOff>
      <xdr:row>753</xdr:row>
      <xdr:rowOff>9525</xdr:rowOff>
    </xdr:to>
    <xdr:pic>
      <xdr:nvPicPr>
        <xdr:cNvPr id="453" name="Picture 45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29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780</xdr:row>
      <xdr:rowOff>47625</xdr:rowOff>
    </xdr:from>
    <xdr:to>
      <xdr:col>2</xdr:col>
      <xdr:colOff>771525</xdr:colOff>
      <xdr:row>783</xdr:row>
      <xdr:rowOff>9525</xdr:rowOff>
    </xdr:to>
    <xdr:pic>
      <xdr:nvPicPr>
        <xdr:cNvPr id="454" name="Picture 45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780</xdr:row>
      <xdr:rowOff>47625</xdr:rowOff>
    </xdr:from>
    <xdr:to>
      <xdr:col>9</xdr:col>
      <xdr:colOff>771525</xdr:colOff>
      <xdr:row>783</xdr:row>
      <xdr:rowOff>9525</xdr:rowOff>
    </xdr:to>
    <xdr:pic>
      <xdr:nvPicPr>
        <xdr:cNvPr id="455" name="Picture 45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86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810</xdr:row>
      <xdr:rowOff>47625</xdr:rowOff>
    </xdr:from>
    <xdr:to>
      <xdr:col>2</xdr:col>
      <xdr:colOff>771525</xdr:colOff>
      <xdr:row>813</xdr:row>
      <xdr:rowOff>9525</xdr:rowOff>
    </xdr:to>
    <xdr:pic>
      <xdr:nvPicPr>
        <xdr:cNvPr id="456" name="Picture 45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810</xdr:row>
      <xdr:rowOff>47625</xdr:rowOff>
    </xdr:from>
    <xdr:to>
      <xdr:col>9</xdr:col>
      <xdr:colOff>771525</xdr:colOff>
      <xdr:row>813</xdr:row>
      <xdr:rowOff>9525</xdr:rowOff>
    </xdr:to>
    <xdr:pic>
      <xdr:nvPicPr>
        <xdr:cNvPr id="457" name="Picture 45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543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840</xdr:row>
      <xdr:rowOff>47625</xdr:rowOff>
    </xdr:from>
    <xdr:to>
      <xdr:col>2</xdr:col>
      <xdr:colOff>771525</xdr:colOff>
      <xdr:row>843</xdr:row>
      <xdr:rowOff>9525</xdr:rowOff>
    </xdr:to>
    <xdr:pic>
      <xdr:nvPicPr>
        <xdr:cNvPr id="458" name="Picture 45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840</xdr:row>
      <xdr:rowOff>47625</xdr:rowOff>
    </xdr:from>
    <xdr:to>
      <xdr:col>9</xdr:col>
      <xdr:colOff>771525</xdr:colOff>
      <xdr:row>843</xdr:row>
      <xdr:rowOff>9525</xdr:rowOff>
    </xdr:to>
    <xdr:pic>
      <xdr:nvPicPr>
        <xdr:cNvPr id="459" name="Picture 45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00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870</xdr:row>
      <xdr:rowOff>47625</xdr:rowOff>
    </xdr:from>
    <xdr:to>
      <xdr:col>2</xdr:col>
      <xdr:colOff>771525</xdr:colOff>
      <xdr:row>873</xdr:row>
      <xdr:rowOff>9525</xdr:rowOff>
    </xdr:to>
    <xdr:pic>
      <xdr:nvPicPr>
        <xdr:cNvPr id="460" name="Picture 45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870</xdr:row>
      <xdr:rowOff>47625</xdr:rowOff>
    </xdr:from>
    <xdr:to>
      <xdr:col>9</xdr:col>
      <xdr:colOff>771525</xdr:colOff>
      <xdr:row>873</xdr:row>
      <xdr:rowOff>9525</xdr:rowOff>
    </xdr:to>
    <xdr:pic>
      <xdr:nvPicPr>
        <xdr:cNvPr id="461" name="Picture 46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657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900</xdr:row>
      <xdr:rowOff>47625</xdr:rowOff>
    </xdr:from>
    <xdr:to>
      <xdr:col>2</xdr:col>
      <xdr:colOff>771525</xdr:colOff>
      <xdr:row>903</xdr:row>
      <xdr:rowOff>9525</xdr:rowOff>
    </xdr:to>
    <xdr:pic>
      <xdr:nvPicPr>
        <xdr:cNvPr id="462" name="Picture 46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900</xdr:row>
      <xdr:rowOff>47625</xdr:rowOff>
    </xdr:from>
    <xdr:to>
      <xdr:col>9</xdr:col>
      <xdr:colOff>771525</xdr:colOff>
      <xdr:row>903</xdr:row>
      <xdr:rowOff>9525</xdr:rowOff>
    </xdr:to>
    <xdr:pic>
      <xdr:nvPicPr>
        <xdr:cNvPr id="463" name="Picture 46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149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930</xdr:row>
      <xdr:rowOff>47625</xdr:rowOff>
    </xdr:from>
    <xdr:to>
      <xdr:col>2</xdr:col>
      <xdr:colOff>771525</xdr:colOff>
      <xdr:row>933</xdr:row>
      <xdr:rowOff>9525</xdr:rowOff>
    </xdr:to>
    <xdr:pic>
      <xdr:nvPicPr>
        <xdr:cNvPr id="464" name="Picture 46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930</xdr:row>
      <xdr:rowOff>47625</xdr:rowOff>
    </xdr:from>
    <xdr:to>
      <xdr:col>9</xdr:col>
      <xdr:colOff>771525</xdr:colOff>
      <xdr:row>933</xdr:row>
      <xdr:rowOff>9525</xdr:rowOff>
    </xdr:to>
    <xdr:pic>
      <xdr:nvPicPr>
        <xdr:cNvPr id="465" name="Picture 46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7721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960</xdr:row>
      <xdr:rowOff>47625</xdr:rowOff>
    </xdr:from>
    <xdr:to>
      <xdr:col>2</xdr:col>
      <xdr:colOff>771525</xdr:colOff>
      <xdr:row>963</xdr:row>
      <xdr:rowOff>9525</xdr:rowOff>
    </xdr:to>
    <xdr:pic>
      <xdr:nvPicPr>
        <xdr:cNvPr id="466" name="Picture 46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960</xdr:row>
      <xdr:rowOff>47625</xdr:rowOff>
    </xdr:from>
    <xdr:to>
      <xdr:col>9</xdr:col>
      <xdr:colOff>771525</xdr:colOff>
      <xdr:row>963</xdr:row>
      <xdr:rowOff>9525</xdr:rowOff>
    </xdr:to>
    <xdr:pic>
      <xdr:nvPicPr>
        <xdr:cNvPr id="467" name="Picture 46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292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990</xdr:row>
      <xdr:rowOff>47625</xdr:rowOff>
    </xdr:from>
    <xdr:to>
      <xdr:col>2</xdr:col>
      <xdr:colOff>771525</xdr:colOff>
      <xdr:row>993</xdr:row>
      <xdr:rowOff>9525</xdr:rowOff>
    </xdr:to>
    <xdr:pic>
      <xdr:nvPicPr>
        <xdr:cNvPr id="468" name="Picture 46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990</xdr:row>
      <xdr:rowOff>47625</xdr:rowOff>
    </xdr:from>
    <xdr:to>
      <xdr:col>9</xdr:col>
      <xdr:colOff>771525</xdr:colOff>
      <xdr:row>993</xdr:row>
      <xdr:rowOff>9525</xdr:rowOff>
    </xdr:to>
    <xdr:pic>
      <xdr:nvPicPr>
        <xdr:cNvPr id="469" name="Picture 46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8864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1020</xdr:row>
      <xdr:rowOff>47625</xdr:rowOff>
    </xdr:from>
    <xdr:to>
      <xdr:col>2</xdr:col>
      <xdr:colOff>771525</xdr:colOff>
      <xdr:row>1023</xdr:row>
      <xdr:rowOff>9525</xdr:rowOff>
    </xdr:to>
    <xdr:pic>
      <xdr:nvPicPr>
        <xdr:cNvPr id="470" name="Picture 46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1020</xdr:row>
      <xdr:rowOff>47625</xdr:rowOff>
    </xdr:from>
    <xdr:to>
      <xdr:col>9</xdr:col>
      <xdr:colOff>771525</xdr:colOff>
      <xdr:row>1023</xdr:row>
      <xdr:rowOff>9525</xdr:rowOff>
    </xdr:to>
    <xdr:pic>
      <xdr:nvPicPr>
        <xdr:cNvPr id="471" name="Picture 47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9435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1050</xdr:row>
      <xdr:rowOff>47625</xdr:rowOff>
    </xdr:from>
    <xdr:to>
      <xdr:col>2</xdr:col>
      <xdr:colOff>771525</xdr:colOff>
      <xdr:row>1053</xdr:row>
      <xdr:rowOff>9525</xdr:rowOff>
    </xdr:to>
    <xdr:pic>
      <xdr:nvPicPr>
        <xdr:cNvPr id="472" name="Picture 47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1050</xdr:row>
      <xdr:rowOff>47625</xdr:rowOff>
    </xdr:from>
    <xdr:to>
      <xdr:col>9</xdr:col>
      <xdr:colOff>771525</xdr:colOff>
      <xdr:row>1053</xdr:row>
      <xdr:rowOff>9525</xdr:rowOff>
    </xdr:to>
    <xdr:pic>
      <xdr:nvPicPr>
        <xdr:cNvPr id="473" name="Picture 47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007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1080</xdr:row>
      <xdr:rowOff>47625</xdr:rowOff>
    </xdr:from>
    <xdr:to>
      <xdr:col>2</xdr:col>
      <xdr:colOff>771525</xdr:colOff>
      <xdr:row>1083</xdr:row>
      <xdr:rowOff>9525</xdr:rowOff>
    </xdr:to>
    <xdr:pic>
      <xdr:nvPicPr>
        <xdr:cNvPr id="474" name="Picture 47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1080</xdr:row>
      <xdr:rowOff>47625</xdr:rowOff>
    </xdr:from>
    <xdr:to>
      <xdr:col>9</xdr:col>
      <xdr:colOff>771525</xdr:colOff>
      <xdr:row>1083</xdr:row>
      <xdr:rowOff>9525</xdr:rowOff>
    </xdr:to>
    <xdr:pic>
      <xdr:nvPicPr>
        <xdr:cNvPr id="475" name="Picture 47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0578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1110</xdr:row>
      <xdr:rowOff>47625</xdr:rowOff>
    </xdr:from>
    <xdr:to>
      <xdr:col>2</xdr:col>
      <xdr:colOff>771525</xdr:colOff>
      <xdr:row>1113</xdr:row>
      <xdr:rowOff>9525</xdr:rowOff>
    </xdr:to>
    <xdr:pic>
      <xdr:nvPicPr>
        <xdr:cNvPr id="476" name="Picture 47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1110</xdr:row>
      <xdr:rowOff>47625</xdr:rowOff>
    </xdr:from>
    <xdr:to>
      <xdr:col>9</xdr:col>
      <xdr:colOff>771525</xdr:colOff>
      <xdr:row>1113</xdr:row>
      <xdr:rowOff>9525</xdr:rowOff>
    </xdr:to>
    <xdr:pic>
      <xdr:nvPicPr>
        <xdr:cNvPr id="477" name="Picture 47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150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1140</xdr:row>
      <xdr:rowOff>47625</xdr:rowOff>
    </xdr:from>
    <xdr:to>
      <xdr:col>2</xdr:col>
      <xdr:colOff>771525</xdr:colOff>
      <xdr:row>1143</xdr:row>
      <xdr:rowOff>9525</xdr:rowOff>
    </xdr:to>
    <xdr:pic>
      <xdr:nvPicPr>
        <xdr:cNvPr id="478" name="Picture 47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1140</xdr:row>
      <xdr:rowOff>47625</xdr:rowOff>
    </xdr:from>
    <xdr:to>
      <xdr:col>9</xdr:col>
      <xdr:colOff>771525</xdr:colOff>
      <xdr:row>1143</xdr:row>
      <xdr:rowOff>9525</xdr:rowOff>
    </xdr:to>
    <xdr:pic>
      <xdr:nvPicPr>
        <xdr:cNvPr id="479" name="Picture 47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1721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1170</xdr:row>
      <xdr:rowOff>47625</xdr:rowOff>
    </xdr:from>
    <xdr:to>
      <xdr:col>2</xdr:col>
      <xdr:colOff>771525</xdr:colOff>
      <xdr:row>1173</xdr:row>
      <xdr:rowOff>9525</xdr:rowOff>
    </xdr:to>
    <xdr:pic>
      <xdr:nvPicPr>
        <xdr:cNvPr id="480" name="Picture 47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1170</xdr:row>
      <xdr:rowOff>47625</xdr:rowOff>
    </xdr:from>
    <xdr:to>
      <xdr:col>9</xdr:col>
      <xdr:colOff>771525</xdr:colOff>
      <xdr:row>1173</xdr:row>
      <xdr:rowOff>9525</xdr:rowOff>
    </xdr:to>
    <xdr:pic>
      <xdr:nvPicPr>
        <xdr:cNvPr id="481" name="Picture 48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293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1200</xdr:row>
      <xdr:rowOff>47625</xdr:rowOff>
    </xdr:from>
    <xdr:to>
      <xdr:col>2</xdr:col>
      <xdr:colOff>771525</xdr:colOff>
      <xdr:row>1203</xdr:row>
      <xdr:rowOff>9525</xdr:rowOff>
    </xdr:to>
    <xdr:pic>
      <xdr:nvPicPr>
        <xdr:cNvPr id="482" name="Picture 48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1200</xdr:row>
      <xdr:rowOff>47625</xdr:rowOff>
    </xdr:from>
    <xdr:to>
      <xdr:col>9</xdr:col>
      <xdr:colOff>771525</xdr:colOff>
      <xdr:row>1203</xdr:row>
      <xdr:rowOff>9525</xdr:rowOff>
    </xdr:to>
    <xdr:pic>
      <xdr:nvPicPr>
        <xdr:cNvPr id="483" name="Picture 48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2864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1230</xdr:row>
      <xdr:rowOff>47625</xdr:rowOff>
    </xdr:from>
    <xdr:to>
      <xdr:col>2</xdr:col>
      <xdr:colOff>771525</xdr:colOff>
      <xdr:row>1233</xdr:row>
      <xdr:rowOff>9525</xdr:rowOff>
    </xdr:to>
    <xdr:pic>
      <xdr:nvPicPr>
        <xdr:cNvPr id="484" name="Picture 48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1230</xdr:row>
      <xdr:rowOff>47625</xdr:rowOff>
    </xdr:from>
    <xdr:to>
      <xdr:col>9</xdr:col>
      <xdr:colOff>771525</xdr:colOff>
      <xdr:row>1233</xdr:row>
      <xdr:rowOff>9525</xdr:rowOff>
    </xdr:to>
    <xdr:pic>
      <xdr:nvPicPr>
        <xdr:cNvPr id="485" name="Picture 48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343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1260</xdr:row>
      <xdr:rowOff>47625</xdr:rowOff>
    </xdr:from>
    <xdr:to>
      <xdr:col>2</xdr:col>
      <xdr:colOff>771525</xdr:colOff>
      <xdr:row>1263</xdr:row>
      <xdr:rowOff>9525</xdr:rowOff>
    </xdr:to>
    <xdr:pic>
      <xdr:nvPicPr>
        <xdr:cNvPr id="486" name="Picture 48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1260</xdr:row>
      <xdr:rowOff>47625</xdr:rowOff>
    </xdr:from>
    <xdr:to>
      <xdr:col>9</xdr:col>
      <xdr:colOff>771525</xdr:colOff>
      <xdr:row>1263</xdr:row>
      <xdr:rowOff>9525</xdr:rowOff>
    </xdr:to>
    <xdr:pic>
      <xdr:nvPicPr>
        <xdr:cNvPr id="487" name="Picture 48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007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1290</xdr:row>
      <xdr:rowOff>47625</xdr:rowOff>
    </xdr:from>
    <xdr:to>
      <xdr:col>2</xdr:col>
      <xdr:colOff>771525</xdr:colOff>
      <xdr:row>1293</xdr:row>
      <xdr:rowOff>9525</xdr:rowOff>
    </xdr:to>
    <xdr:pic>
      <xdr:nvPicPr>
        <xdr:cNvPr id="488" name="Picture 48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1290</xdr:row>
      <xdr:rowOff>47625</xdr:rowOff>
    </xdr:from>
    <xdr:to>
      <xdr:col>9</xdr:col>
      <xdr:colOff>771525</xdr:colOff>
      <xdr:row>1293</xdr:row>
      <xdr:rowOff>9525</xdr:rowOff>
    </xdr:to>
    <xdr:pic>
      <xdr:nvPicPr>
        <xdr:cNvPr id="489" name="Picture 48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4579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1320</xdr:row>
      <xdr:rowOff>47625</xdr:rowOff>
    </xdr:from>
    <xdr:to>
      <xdr:col>2</xdr:col>
      <xdr:colOff>771525</xdr:colOff>
      <xdr:row>1323</xdr:row>
      <xdr:rowOff>9525</xdr:rowOff>
    </xdr:to>
    <xdr:pic>
      <xdr:nvPicPr>
        <xdr:cNvPr id="490" name="Picture 48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1320</xdr:row>
      <xdr:rowOff>47625</xdr:rowOff>
    </xdr:from>
    <xdr:to>
      <xdr:col>9</xdr:col>
      <xdr:colOff>771525</xdr:colOff>
      <xdr:row>1323</xdr:row>
      <xdr:rowOff>9525</xdr:rowOff>
    </xdr:to>
    <xdr:pic>
      <xdr:nvPicPr>
        <xdr:cNvPr id="491" name="Picture 49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15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1350</xdr:row>
      <xdr:rowOff>47625</xdr:rowOff>
    </xdr:from>
    <xdr:to>
      <xdr:col>2</xdr:col>
      <xdr:colOff>771525</xdr:colOff>
      <xdr:row>1353</xdr:row>
      <xdr:rowOff>9525</xdr:rowOff>
    </xdr:to>
    <xdr:pic>
      <xdr:nvPicPr>
        <xdr:cNvPr id="492" name="Picture 491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1350</xdr:row>
      <xdr:rowOff>47625</xdr:rowOff>
    </xdr:from>
    <xdr:to>
      <xdr:col>9</xdr:col>
      <xdr:colOff>771525</xdr:colOff>
      <xdr:row>1353</xdr:row>
      <xdr:rowOff>9525</xdr:rowOff>
    </xdr:to>
    <xdr:pic>
      <xdr:nvPicPr>
        <xdr:cNvPr id="493" name="Picture 492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5722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1380</xdr:row>
      <xdr:rowOff>47625</xdr:rowOff>
    </xdr:from>
    <xdr:to>
      <xdr:col>2</xdr:col>
      <xdr:colOff>771525</xdr:colOff>
      <xdr:row>1383</xdr:row>
      <xdr:rowOff>9525</xdr:rowOff>
    </xdr:to>
    <xdr:pic>
      <xdr:nvPicPr>
        <xdr:cNvPr id="494" name="Picture 493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1380</xdr:row>
      <xdr:rowOff>47625</xdr:rowOff>
    </xdr:from>
    <xdr:to>
      <xdr:col>9</xdr:col>
      <xdr:colOff>771525</xdr:colOff>
      <xdr:row>1383</xdr:row>
      <xdr:rowOff>9525</xdr:rowOff>
    </xdr:to>
    <xdr:pic>
      <xdr:nvPicPr>
        <xdr:cNvPr id="495" name="Picture 494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293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1410</xdr:row>
      <xdr:rowOff>47625</xdr:rowOff>
    </xdr:from>
    <xdr:to>
      <xdr:col>2</xdr:col>
      <xdr:colOff>771525</xdr:colOff>
      <xdr:row>1413</xdr:row>
      <xdr:rowOff>9525</xdr:rowOff>
    </xdr:to>
    <xdr:pic>
      <xdr:nvPicPr>
        <xdr:cNvPr id="496" name="Picture 495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1410</xdr:row>
      <xdr:rowOff>47625</xdr:rowOff>
    </xdr:from>
    <xdr:to>
      <xdr:col>9</xdr:col>
      <xdr:colOff>771525</xdr:colOff>
      <xdr:row>1413</xdr:row>
      <xdr:rowOff>9525</xdr:rowOff>
    </xdr:to>
    <xdr:pic>
      <xdr:nvPicPr>
        <xdr:cNvPr id="497" name="Picture 496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6865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1440</xdr:row>
      <xdr:rowOff>47625</xdr:rowOff>
    </xdr:from>
    <xdr:to>
      <xdr:col>2</xdr:col>
      <xdr:colOff>771525</xdr:colOff>
      <xdr:row>1443</xdr:row>
      <xdr:rowOff>9525</xdr:rowOff>
    </xdr:to>
    <xdr:pic>
      <xdr:nvPicPr>
        <xdr:cNvPr id="498" name="Picture 497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1440</xdr:row>
      <xdr:rowOff>47625</xdr:rowOff>
    </xdr:from>
    <xdr:to>
      <xdr:col>9</xdr:col>
      <xdr:colOff>771525</xdr:colOff>
      <xdr:row>1443</xdr:row>
      <xdr:rowOff>9525</xdr:rowOff>
    </xdr:to>
    <xdr:pic>
      <xdr:nvPicPr>
        <xdr:cNvPr id="499" name="Picture 498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7436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1470</xdr:row>
      <xdr:rowOff>47625</xdr:rowOff>
    </xdr:from>
    <xdr:to>
      <xdr:col>2</xdr:col>
      <xdr:colOff>771525</xdr:colOff>
      <xdr:row>1473</xdr:row>
      <xdr:rowOff>9525</xdr:rowOff>
    </xdr:to>
    <xdr:pic>
      <xdr:nvPicPr>
        <xdr:cNvPr id="500" name="Picture 499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28008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1470</xdr:row>
      <xdr:rowOff>47625</xdr:rowOff>
    </xdr:from>
    <xdr:to>
      <xdr:col>9</xdr:col>
      <xdr:colOff>771525</xdr:colOff>
      <xdr:row>1473</xdr:row>
      <xdr:rowOff>9525</xdr:rowOff>
    </xdr:to>
    <xdr:pic>
      <xdr:nvPicPr>
        <xdr:cNvPr id="501" name="Picture 500" descr="index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280082625"/>
          <a:ext cx="533400" cy="533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114300</xdr:colOff>
      <xdr:row>5</xdr:row>
      <xdr:rowOff>95250</xdr:rowOff>
    </xdr:to>
    <xdr:sp macro="" textlink="">
      <xdr:nvSpPr>
        <xdr:cNvPr id="502" name="TextBox 501"/>
        <xdr:cNvSpPr txBox="1"/>
      </xdr:nvSpPr>
      <xdr:spPr>
        <a:xfrm>
          <a:off x="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9</xdr:col>
      <xdr:colOff>114300</xdr:colOff>
      <xdr:row>5</xdr:row>
      <xdr:rowOff>95250</xdr:rowOff>
    </xdr:to>
    <xdr:sp macro="" textlink="">
      <xdr:nvSpPr>
        <xdr:cNvPr id="503" name="TextBox 502"/>
        <xdr:cNvSpPr txBox="1"/>
      </xdr:nvSpPr>
      <xdr:spPr>
        <a:xfrm>
          <a:off x="457200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5</xdr:col>
      <xdr:colOff>304800</xdr:colOff>
      <xdr:row>6</xdr:row>
      <xdr:rowOff>95250</xdr:rowOff>
    </xdr:to>
    <xdr:sp macro="" textlink="">
      <xdr:nvSpPr>
        <xdr:cNvPr id="504" name="TextBox 503"/>
        <xdr:cNvSpPr txBox="1"/>
      </xdr:nvSpPr>
      <xdr:spPr>
        <a:xfrm>
          <a:off x="2133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505" name="TextBox 504"/>
        <xdr:cNvSpPr txBox="1"/>
      </xdr:nvSpPr>
      <xdr:spPr>
        <a:xfrm>
          <a:off x="6705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114300</xdr:colOff>
      <xdr:row>35</xdr:row>
      <xdr:rowOff>95250</xdr:rowOff>
    </xdr:to>
    <xdr:sp macro="" textlink="">
      <xdr:nvSpPr>
        <xdr:cNvPr id="506" name="TextBox 505"/>
        <xdr:cNvSpPr txBox="1"/>
      </xdr:nvSpPr>
      <xdr:spPr>
        <a:xfrm>
          <a:off x="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114300</xdr:colOff>
      <xdr:row>35</xdr:row>
      <xdr:rowOff>95250</xdr:rowOff>
    </xdr:to>
    <xdr:sp macro="" textlink="">
      <xdr:nvSpPr>
        <xdr:cNvPr id="507" name="TextBox 506"/>
        <xdr:cNvSpPr txBox="1"/>
      </xdr:nvSpPr>
      <xdr:spPr>
        <a:xfrm>
          <a:off x="457200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5</xdr:col>
      <xdr:colOff>304800</xdr:colOff>
      <xdr:row>36</xdr:row>
      <xdr:rowOff>95250</xdr:rowOff>
    </xdr:to>
    <xdr:sp macro="" textlink="">
      <xdr:nvSpPr>
        <xdr:cNvPr id="508" name="TextBox 507"/>
        <xdr:cNvSpPr txBox="1"/>
      </xdr:nvSpPr>
      <xdr:spPr>
        <a:xfrm>
          <a:off x="2133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304800</xdr:colOff>
      <xdr:row>36</xdr:row>
      <xdr:rowOff>95250</xdr:rowOff>
    </xdr:to>
    <xdr:sp macro="" textlink="">
      <xdr:nvSpPr>
        <xdr:cNvPr id="509" name="TextBox 508"/>
        <xdr:cNvSpPr txBox="1"/>
      </xdr:nvSpPr>
      <xdr:spPr>
        <a:xfrm>
          <a:off x="6705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114300</xdr:colOff>
      <xdr:row>65</xdr:row>
      <xdr:rowOff>95250</xdr:rowOff>
    </xdr:to>
    <xdr:sp macro="" textlink="">
      <xdr:nvSpPr>
        <xdr:cNvPr id="510" name="TextBox 509"/>
        <xdr:cNvSpPr txBox="1"/>
      </xdr:nvSpPr>
      <xdr:spPr>
        <a:xfrm>
          <a:off x="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9</xdr:col>
      <xdr:colOff>114300</xdr:colOff>
      <xdr:row>65</xdr:row>
      <xdr:rowOff>95250</xdr:rowOff>
    </xdr:to>
    <xdr:sp macro="" textlink="">
      <xdr:nvSpPr>
        <xdr:cNvPr id="511" name="TextBox 510"/>
        <xdr:cNvSpPr txBox="1"/>
      </xdr:nvSpPr>
      <xdr:spPr>
        <a:xfrm>
          <a:off x="457200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5</xdr:col>
      <xdr:colOff>304800</xdr:colOff>
      <xdr:row>66</xdr:row>
      <xdr:rowOff>95250</xdr:rowOff>
    </xdr:to>
    <xdr:sp macro="" textlink="">
      <xdr:nvSpPr>
        <xdr:cNvPr id="512" name="TextBox 511"/>
        <xdr:cNvSpPr txBox="1"/>
      </xdr:nvSpPr>
      <xdr:spPr>
        <a:xfrm>
          <a:off x="2133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12</xdr:col>
      <xdr:colOff>304800</xdr:colOff>
      <xdr:row>66</xdr:row>
      <xdr:rowOff>95250</xdr:rowOff>
    </xdr:to>
    <xdr:sp macro="" textlink="">
      <xdr:nvSpPr>
        <xdr:cNvPr id="513" name="TextBox 512"/>
        <xdr:cNvSpPr txBox="1"/>
      </xdr:nvSpPr>
      <xdr:spPr>
        <a:xfrm>
          <a:off x="6705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2</xdr:col>
      <xdr:colOff>114300</xdr:colOff>
      <xdr:row>95</xdr:row>
      <xdr:rowOff>95250</xdr:rowOff>
    </xdr:to>
    <xdr:sp macro="" textlink="">
      <xdr:nvSpPr>
        <xdr:cNvPr id="514" name="TextBox 513"/>
        <xdr:cNvSpPr txBox="1"/>
      </xdr:nvSpPr>
      <xdr:spPr>
        <a:xfrm>
          <a:off x="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9</xdr:col>
      <xdr:colOff>114300</xdr:colOff>
      <xdr:row>95</xdr:row>
      <xdr:rowOff>95250</xdr:rowOff>
    </xdr:to>
    <xdr:sp macro="" textlink="">
      <xdr:nvSpPr>
        <xdr:cNvPr id="515" name="TextBox 514"/>
        <xdr:cNvSpPr txBox="1"/>
      </xdr:nvSpPr>
      <xdr:spPr>
        <a:xfrm>
          <a:off x="457200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5</xdr:col>
      <xdr:colOff>304800</xdr:colOff>
      <xdr:row>96</xdr:row>
      <xdr:rowOff>95250</xdr:rowOff>
    </xdr:to>
    <xdr:sp macro="" textlink="">
      <xdr:nvSpPr>
        <xdr:cNvPr id="516" name="TextBox 515"/>
        <xdr:cNvSpPr txBox="1"/>
      </xdr:nvSpPr>
      <xdr:spPr>
        <a:xfrm>
          <a:off x="2133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12</xdr:col>
      <xdr:colOff>304800</xdr:colOff>
      <xdr:row>96</xdr:row>
      <xdr:rowOff>95250</xdr:rowOff>
    </xdr:to>
    <xdr:sp macro="" textlink="">
      <xdr:nvSpPr>
        <xdr:cNvPr id="517" name="TextBox 516"/>
        <xdr:cNvSpPr txBox="1"/>
      </xdr:nvSpPr>
      <xdr:spPr>
        <a:xfrm>
          <a:off x="6705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114300</xdr:colOff>
      <xdr:row>125</xdr:row>
      <xdr:rowOff>95250</xdr:rowOff>
    </xdr:to>
    <xdr:sp macro="" textlink="">
      <xdr:nvSpPr>
        <xdr:cNvPr id="518" name="TextBox 517"/>
        <xdr:cNvSpPr txBox="1"/>
      </xdr:nvSpPr>
      <xdr:spPr>
        <a:xfrm>
          <a:off x="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9</xdr:col>
      <xdr:colOff>114300</xdr:colOff>
      <xdr:row>125</xdr:row>
      <xdr:rowOff>95250</xdr:rowOff>
    </xdr:to>
    <xdr:sp macro="" textlink="">
      <xdr:nvSpPr>
        <xdr:cNvPr id="519" name="TextBox 518"/>
        <xdr:cNvSpPr txBox="1"/>
      </xdr:nvSpPr>
      <xdr:spPr>
        <a:xfrm>
          <a:off x="457200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304800</xdr:colOff>
      <xdr:row>126</xdr:row>
      <xdr:rowOff>95250</xdr:rowOff>
    </xdr:to>
    <xdr:sp macro="" textlink="">
      <xdr:nvSpPr>
        <xdr:cNvPr id="520" name="TextBox 519"/>
        <xdr:cNvSpPr txBox="1"/>
      </xdr:nvSpPr>
      <xdr:spPr>
        <a:xfrm>
          <a:off x="2133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</xdr:row>
      <xdr:rowOff>0</xdr:rowOff>
    </xdr:from>
    <xdr:to>
      <xdr:col>12</xdr:col>
      <xdr:colOff>304800</xdr:colOff>
      <xdr:row>126</xdr:row>
      <xdr:rowOff>95250</xdr:rowOff>
    </xdr:to>
    <xdr:sp macro="" textlink="">
      <xdr:nvSpPr>
        <xdr:cNvPr id="521" name="TextBox 520"/>
        <xdr:cNvSpPr txBox="1"/>
      </xdr:nvSpPr>
      <xdr:spPr>
        <a:xfrm>
          <a:off x="6705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150</xdr:row>
      <xdr:rowOff>0</xdr:rowOff>
    </xdr:from>
    <xdr:to>
      <xdr:col>2</xdr:col>
      <xdr:colOff>114300</xdr:colOff>
      <xdr:row>155</xdr:row>
      <xdr:rowOff>95250</xdr:rowOff>
    </xdr:to>
    <xdr:sp macro="" textlink="">
      <xdr:nvSpPr>
        <xdr:cNvPr id="522" name="TextBox 521"/>
        <xdr:cNvSpPr txBox="1"/>
      </xdr:nvSpPr>
      <xdr:spPr>
        <a:xfrm>
          <a:off x="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150</xdr:row>
      <xdr:rowOff>0</xdr:rowOff>
    </xdr:from>
    <xdr:to>
      <xdr:col>9</xdr:col>
      <xdr:colOff>114300</xdr:colOff>
      <xdr:row>155</xdr:row>
      <xdr:rowOff>95250</xdr:rowOff>
    </xdr:to>
    <xdr:sp macro="" textlink="">
      <xdr:nvSpPr>
        <xdr:cNvPr id="523" name="TextBox 522"/>
        <xdr:cNvSpPr txBox="1"/>
      </xdr:nvSpPr>
      <xdr:spPr>
        <a:xfrm>
          <a:off x="457200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5</xdr:col>
      <xdr:colOff>304800</xdr:colOff>
      <xdr:row>156</xdr:row>
      <xdr:rowOff>95250</xdr:rowOff>
    </xdr:to>
    <xdr:sp macro="" textlink="">
      <xdr:nvSpPr>
        <xdr:cNvPr id="524" name="TextBox 523"/>
        <xdr:cNvSpPr txBox="1"/>
      </xdr:nvSpPr>
      <xdr:spPr>
        <a:xfrm>
          <a:off x="2133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12</xdr:col>
      <xdr:colOff>304800</xdr:colOff>
      <xdr:row>156</xdr:row>
      <xdr:rowOff>95250</xdr:rowOff>
    </xdr:to>
    <xdr:sp macro="" textlink="">
      <xdr:nvSpPr>
        <xdr:cNvPr id="525" name="TextBox 524"/>
        <xdr:cNvSpPr txBox="1"/>
      </xdr:nvSpPr>
      <xdr:spPr>
        <a:xfrm>
          <a:off x="6705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180</xdr:row>
      <xdr:rowOff>0</xdr:rowOff>
    </xdr:from>
    <xdr:to>
      <xdr:col>2</xdr:col>
      <xdr:colOff>114300</xdr:colOff>
      <xdr:row>185</xdr:row>
      <xdr:rowOff>95250</xdr:rowOff>
    </xdr:to>
    <xdr:sp macro="" textlink="">
      <xdr:nvSpPr>
        <xdr:cNvPr id="526" name="TextBox 525"/>
        <xdr:cNvSpPr txBox="1"/>
      </xdr:nvSpPr>
      <xdr:spPr>
        <a:xfrm>
          <a:off x="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9</xdr:col>
      <xdr:colOff>114300</xdr:colOff>
      <xdr:row>185</xdr:row>
      <xdr:rowOff>95250</xdr:rowOff>
    </xdr:to>
    <xdr:sp macro="" textlink="">
      <xdr:nvSpPr>
        <xdr:cNvPr id="527" name="TextBox 526"/>
        <xdr:cNvSpPr txBox="1"/>
      </xdr:nvSpPr>
      <xdr:spPr>
        <a:xfrm>
          <a:off x="457200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5</xdr:col>
      <xdr:colOff>304800</xdr:colOff>
      <xdr:row>186</xdr:row>
      <xdr:rowOff>95250</xdr:rowOff>
    </xdr:to>
    <xdr:sp macro="" textlink="">
      <xdr:nvSpPr>
        <xdr:cNvPr id="528" name="TextBox 527"/>
        <xdr:cNvSpPr txBox="1"/>
      </xdr:nvSpPr>
      <xdr:spPr>
        <a:xfrm>
          <a:off x="2133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180</xdr:row>
      <xdr:rowOff>0</xdr:rowOff>
    </xdr:from>
    <xdr:to>
      <xdr:col>12</xdr:col>
      <xdr:colOff>304800</xdr:colOff>
      <xdr:row>186</xdr:row>
      <xdr:rowOff>95250</xdr:rowOff>
    </xdr:to>
    <xdr:sp macro="" textlink="">
      <xdr:nvSpPr>
        <xdr:cNvPr id="529" name="TextBox 528"/>
        <xdr:cNvSpPr txBox="1"/>
      </xdr:nvSpPr>
      <xdr:spPr>
        <a:xfrm>
          <a:off x="6705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210</xdr:row>
      <xdr:rowOff>0</xdr:rowOff>
    </xdr:from>
    <xdr:to>
      <xdr:col>2</xdr:col>
      <xdr:colOff>114300</xdr:colOff>
      <xdr:row>215</xdr:row>
      <xdr:rowOff>95250</xdr:rowOff>
    </xdr:to>
    <xdr:sp macro="" textlink="">
      <xdr:nvSpPr>
        <xdr:cNvPr id="530" name="TextBox 529"/>
        <xdr:cNvSpPr txBox="1"/>
      </xdr:nvSpPr>
      <xdr:spPr>
        <a:xfrm>
          <a:off x="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9</xdr:col>
      <xdr:colOff>114300</xdr:colOff>
      <xdr:row>215</xdr:row>
      <xdr:rowOff>95250</xdr:rowOff>
    </xdr:to>
    <xdr:sp macro="" textlink="">
      <xdr:nvSpPr>
        <xdr:cNvPr id="531" name="TextBox 530"/>
        <xdr:cNvSpPr txBox="1"/>
      </xdr:nvSpPr>
      <xdr:spPr>
        <a:xfrm>
          <a:off x="457200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5</xdr:col>
      <xdr:colOff>304800</xdr:colOff>
      <xdr:row>216</xdr:row>
      <xdr:rowOff>95250</xdr:rowOff>
    </xdr:to>
    <xdr:sp macro="" textlink="">
      <xdr:nvSpPr>
        <xdr:cNvPr id="532" name="TextBox 531"/>
        <xdr:cNvSpPr txBox="1"/>
      </xdr:nvSpPr>
      <xdr:spPr>
        <a:xfrm>
          <a:off x="2133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210</xdr:row>
      <xdr:rowOff>0</xdr:rowOff>
    </xdr:from>
    <xdr:to>
      <xdr:col>12</xdr:col>
      <xdr:colOff>304800</xdr:colOff>
      <xdr:row>216</xdr:row>
      <xdr:rowOff>95250</xdr:rowOff>
    </xdr:to>
    <xdr:sp macro="" textlink="">
      <xdr:nvSpPr>
        <xdr:cNvPr id="533" name="TextBox 532"/>
        <xdr:cNvSpPr txBox="1"/>
      </xdr:nvSpPr>
      <xdr:spPr>
        <a:xfrm>
          <a:off x="6705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240</xdr:row>
      <xdr:rowOff>0</xdr:rowOff>
    </xdr:from>
    <xdr:to>
      <xdr:col>2</xdr:col>
      <xdr:colOff>114300</xdr:colOff>
      <xdr:row>245</xdr:row>
      <xdr:rowOff>95250</xdr:rowOff>
    </xdr:to>
    <xdr:sp macro="" textlink="">
      <xdr:nvSpPr>
        <xdr:cNvPr id="534" name="TextBox 533"/>
        <xdr:cNvSpPr txBox="1"/>
      </xdr:nvSpPr>
      <xdr:spPr>
        <a:xfrm>
          <a:off x="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240</xdr:row>
      <xdr:rowOff>0</xdr:rowOff>
    </xdr:from>
    <xdr:to>
      <xdr:col>9</xdr:col>
      <xdr:colOff>114300</xdr:colOff>
      <xdr:row>245</xdr:row>
      <xdr:rowOff>95250</xdr:rowOff>
    </xdr:to>
    <xdr:sp macro="" textlink="">
      <xdr:nvSpPr>
        <xdr:cNvPr id="535" name="TextBox 534"/>
        <xdr:cNvSpPr txBox="1"/>
      </xdr:nvSpPr>
      <xdr:spPr>
        <a:xfrm>
          <a:off x="457200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5</xdr:col>
      <xdr:colOff>304800</xdr:colOff>
      <xdr:row>246</xdr:row>
      <xdr:rowOff>95250</xdr:rowOff>
    </xdr:to>
    <xdr:sp macro="" textlink="">
      <xdr:nvSpPr>
        <xdr:cNvPr id="536" name="TextBox 535"/>
        <xdr:cNvSpPr txBox="1"/>
      </xdr:nvSpPr>
      <xdr:spPr>
        <a:xfrm>
          <a:off x="2133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240</xdr:row>
      <xdr:rowOff>0</xdr:rowOff>
    </xdr:from>
    <xdr:to>
      <xdr:col>12</xdr:col>
      <xdr:colOff>304800</xdr:colOff>
      <xdr:row>246</xdr:row>
      <xdr:rowOff>95250</xdr:rowOff>
    </xdr:to>
    <xdr:sp macro="" textlink="">
      <xdr:nvSpPr>
        <xdr:cNvPr id="537" name="TextBox 536"/>
        <xdr:cNvSpPr txBox="1"/>
      </xdr:nvSpPr>
      <xdr:spPr>
        <a:xfrm>
          <a:off x="6705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270</xdr:row>
      <xdr:rowOff>0</xdr:rowOff>
    </xdr:from>
    <xdr:to>
      <xdr:col>2</xdr:col>
      <xdr:colOff>114300</xdr:colOff>
      <xdr:row>275</xdr:row>
      <xdr:rowOff>95250</xdr:rowOff>
    </xdr:to>
    <xdr:sp macro="" textlink="">
      <xdr:nvSpPr>
        <xdr:cNvPr id="538" name="TextBox 537"/>
        <xdr:cNvSpPr txBox="1"/>
      </xdr:nvSpPr>
      <xdr:spPr>
        <a:xfrm>
          <a:off x="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270</xdr:row>
      <xdr:rowOff>0</xdr:rowOff>
    </xdr:from>
    <xdr:to>
      <xdr:col>9</xdr:col>
      <xdr:colOff>114300</xdr:colOff>
      <xdr:row>275</xdr:row>
      <xdr:rowOff>95250</xdr:rowOff>
    </xdr:to>
    <xdr:sp macro="" textlink="">
      <xdr:nvSpPr>
        <xdr:cNvPr id="539" name="TextBox 538"/>
        <xdr:cNvSpPr txBox="1"/>
      </xdr:nvSpPr>
      <xdr:spPr>
        <a:xfrm>
          <a:off x="457200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270</xdr:row>
      <xdr:rowOff>0</xdr:rowOff>
    </xdr:from>
    <xdr:to>
      <xdr:col>5</xdr:col>
      <xdr:colOff>304800</xdr:colOff>
      <xdr:row>276</xdr:row>
      <xdr:rowOff>95250</xdr:rowOff>
    </xdr:to>
    <xdr:sp macro="" textlink="">
      <xdr:nvSpPr>
        <xdr:cNvPr id="540" name="TextBox 539"/>
        <xdr:cNvSpPr txBox="1"/>
      </xdr:nvSpPr>
      <xdr:spPr>
        <a:xfrm>
          <a:off x="2133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270</xdr:row>
      <xdr:rowOff>0</xdr:rowOff>
    </xdr:from>
    <xdr:to>
      <xdr:col>12</xdr:col>
      <xdr:colOff>304800</xdr:colOff>
      <xdr:row>276</xdr:row>
      <xdr:rowOff>95250</xdr:rowOff>
    </xdr:to>
    <xdr:sp macro="" textlink="">
      <xdr:nvSpPr>
        <xdr:cNvPr id="541" name="TextBox 540"/>
        <xdr:cNvSpPr txBox="1"/>
      </xdr:nvSpPr>
      <xdr:spPr>
        <a:xfrm>
          <a:off x="6705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300</xdr:row>
      <xdr:rowOff>0</xdr:rowOff>
    </xdr:from>
    <xdr:to>
      <xdr:col>2</xdr:col>
      <xdr:colOff>114300</xdr:colOff>
      <xdr:row>305</xdr:row>
      <xdr:rowOff>95250</xdr:rowOff>
    </xdr:to>
    <xdr:sp macro="" textlink="">
      <xdr:nvSpPr>
        <xdr:cNvPr id="542" name="TextBox 541"/>
        <xdr:cNvSpPr txBox="1"/>
      </xdr:nvSpPr>
      <xdr:spPr>
        <a:xfrm>
          <a:off x="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300</xdr:row>
      <xdr:rowOff>0</xdr:rowOff>
    </xdr:from>
    <xdr:to>
      <xdr:col>9</xdr:col>
      <xdr:colOff>114300</xdr:colOff>
      <xdr:row>305</xdr:row>
      <xdr:rowOff>95250</xdr:rowOff>
    </xdr:to>
    <xdr:sp macro="" textlink="">
      <xdr:nvSpPr>
        <xdr:cNvPr id="543" name="TextBox 542"/>
        <xdr:cNvSpPr txBox="1"/>
      </xdr:nvSpPr>
      <xdr:spPr>
        <a:xfrm>
          <a:off x="457200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5</xdr:col>
      <xdr:colOff>304800</xdr:colOff>
      <xdr:row>306</xdr:row>
      <xdr:rowOff>95250</xdr:rowOff>
    </xdr:to>
    <xdr:sp macro="" textlink="">
      <xdr:nvSpPr>
        <xdr:cNvPr id="544" name="TextBox 543"/>
        <xdr:cNvSpPr txBox="1"/>
      </xdr:nvSpPr>
      <xdr:spPr>
        <a:xfrm>
          <a:off x="2133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300</xdr:row>
      <xdr:rowOff>0</xdr:rowOff>
    </xdr:from>
    <xdr:to>
      <xdr:col>12</xdr:col>
      <xdr:colOff>304800</xdr:colOff>
      <xdr:row>306</xdr:row>
      <xdr:rowOff>95250</xdr:rowOff>
    </xdr:to>
    <xdr:sp macro="" textlink="">
      <xdr:nvSpPr>
        <xdr:cNvPr id="545" name="TextBox 544"/>
        <xdr:cNvSpPr txBox="1"/>
      </xdr:nvSpPr>
      <xdr:spPr>
        <a:xfrm>
          <a:off x="6705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330</xdr:row>
      <xdr:rowOff>0</xdr:rowOff>
    </xdr:from>
    <xdr:to>
      <xdr:col>2</xdr:col>
      <xdr:colOff>114300</xdr:colOff>
      <xdr:row>335</xdr:row>
      <xdr:rowOff>95250</xdr:rowOff>
    </xdr:to>
    <xdr:sp macro="" textlink="">
      <xdr:nvSpPr>
        <xdr:cNvPr id="546" name="TextBox 545"/>
        <xdr:cNvSpPr txBox="1"/>
      </xdr:nvSpPr>
      <xdr:spPr>
        <a:xfrm>
          <a:off x="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330</xdr:row>
      <xdr:rowOff>0</xdr:rowOff>
    </xdr:from>
    <xdr:to>
      <xdr:col>9</xdr:col>
      <xdr:colOff>114300</xdr:colOff>
      <xdr:row>335</xdr:row>
      <xdr:rowOff>95250</xdr:rowOff>
    </xdr:to>
    <xdr:sp macro="" textlink="">
      <xdr:nvSpPr>
        <xdr:cNvPr id="547" name="TextBox 546"/>
        <xdr:cNvSpPr txBox="1"/>
      </xdr:nvSpPr>
      <xdr:spPr>
        <a:xfrm>
          <a:off x="457200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330</xdr:row>
      <xdr:rowOff>0</xdr:rowOff>
    </xdr:from>
    <xdr:to>
      <xdr:col>5</xdr:col>
      <xdr:colOff>304800</xdr:colOff>
      <xdr:row>336</xdr:row>
      <xdr:rowOff>95250</xdr:rowOff>
    </xdr:to>
    <xdr:sp macro="" textlink="">
      <xdr:nvSpPr>
        <xdr:cNvPr id="548" name="TextBox 547"/>
        <xdr:cNvSpPr txBox="1"/>
      </xdr:nvSpPr>
      <xdr:spPr>
        <a:xfrm>
          <a:off x="2133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330</xdr:row>
      <xdr:rowOff>0</xdr:rowOff>
    </xdr:from>
    <xdr:to>
      <xdr:col>12</xdr:col>
      <xdr:colOff>304800</xdr:colOff>
      <xdr:row>336</xdr:row>
      <xdr:rowOff>95250</xdr:rowOff>
    </xdr:to>
    <xdr:sp macro="" textlink="">
      <xdr:nvSpPr>
        <xdr:cNvPr id="549" name="TextBox 548"/>
        <xdr:cNvSpPr txBox="1"/>
      </xdr:nvSpPr>
      <xdr:spPr>
        <a:xfrm>
          <a:off x="6705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360</xdr:row>
      <xdr:rowOff>0</xdr:rowOff>
    </xdr:from>
    <xdr:to>
      <xdr:col>2</xdr:col>
      <xdr:colOff>114300</xdr:colOff>
      <xdr:row>365</xdr:row>
      <xdr:rowOff>95250</xdr:rowOff>
    </xdr:to>
    <xdr:sp macro="" textlink="">
      <xdr:nvSpPr>
        <xdr:cNvPr id="550" name="TextBox 549"/>
        <xdr:cNvSpPr txBox="1"/>
      </xdr:nvSpPr>
      <xdr:spPr>
        <a:xfrm>
          <a:off x="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360</xdr:row>
      <xdr:rowOff>0</xdr:rowOff>
    </xdr:from>
    <xdr:to>
      <xdr:col>9</xdr:col>
      <xdr:colOff>114300</xdr:colOff>
      <xdr:row>365</xdr:row>
      <xdr:rowOff>95250</xdr:rowOff>
    </xdr:to>
    <xdr:sp macro="" textlink="">
      <xdr:nvSpPr>
        <xdr:cNvPr id="551" name="TextBox 550"/>
        <xdr:cNvSpPr txBox="1"/>
      </xdr:nvSpPr>
      <xdr:spPr>
        <a:xfrm>
          <a:off x="457200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360</xdr:row>
      <xdr:rowOff>0</xdr:rowOff>
    </xdr:from>
    <xdr:to>
      <xdr:col>5</xdr:col>
      <xdr:colOff>304800</xdr:colOff>
      <xdr:row>366</xdr:row>
      <xdr:rowOff>95250</xdr:rowOff>
    </xdr:to>
    <xdr:sp macro="" textlink="">
      <xdr:nvSpPr>
        <xdr:cNvPr id="552" name="TextBox 551"/>
        <xdr:cNvSpPr txBox="1"/>
      </xdr:nvSpPr>
      <xdr:spPr>
        <a:xfrm>
          <a:off x="2133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360</xdr:row>
      <xdr:rowOff>0</xdr:rowOff>
    </xdr:from>
    <xdr:to>
      <xdr:col>12</xdr:col>
      <xdr:colOff>304800</xdr:colOff>
      <xdr:row>366</xdr:row>
      <xdr:rowOff>95250</xdr:rowOff>
    </xdr:to>
    <xdr:sp macro="" textlink="">
      <xdr:nvSpPr>
        <xdr:cNvPr id="553" name="TextBox 552"/>
        <xdr:cNvSpPr txBox="1"/>
      </xdr:nvSpPr>
      <xdr:spPr>
        <a:xfrm>
          <a:off x="6705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390</xdr:row>
      <xdr:rowOff>0</xdr:rowOff>
    </xdr:from>
    <xdr:to>
      <xdr:col>2</xdr:col>
      <xdr:colOff>114300</xdr:colOff>
      <xdr:row>395</xdr:row>
      <xdr:rowOff>95250</xdr:rowOff>
    </xdr:to>
    <xdr:sp macro="" textlink="">
      <xdr:nvSpPr>
        <xdr:cNvPr id="554" name="TextBox 553"/>
        <xdr:cNvSpPr txBox="1"/>
      </xdr:nvSpPr>
      <xdr:spPr>
        <a:xfrm>
          <a:off x="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390</xdr:row>
      <xdr:rowOff>0</xdr:rowOff>
    </xdr:from>
    <xdr:to>
      <xdr:col>9</xdr:col>
      <xdr:colOff>114300</xdr:colOff>
      <xdr:row>395</xdr:row>
      <xdr:rowOff>95250</xdr:rowOff>
    </xdr:to>
    <xdr:sp macro="" textlink="">
      <xdr:nvSpPr>
        <xdr:cNvPr id="555" name="TextBox 554"/>
        <xdr:cNvSpPr txBox="1"/>
      </xdr:nvSpPr>
      <xdr:spPr>
        <a:xfrm>
          <a:off x="457200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390</xdr:row>
      <xdr:rowOff>0</xdr:rowOff>
    </xdr:from>
    <xdr:to>
      <xdr:col>5</xdr:col>
      <xdr:colOff>304800</xdr:colOff>
      <xdr:row>396</xdr:row>
      <xdr:rowOff>95250</xdr:rowOff>
    </xdr:to>
    <xdr:sp macro="" textlink="">
      <xdr:nvSpPr>
        <xdr:cNvPr id="556" name="TextBox 555"/>
        <xdr:cNvSpPr txBox="1"/>
      </xdr:nvSpPr>
      <xdr:spPr>
        <a:xfrm>
          <a:off x="2133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390</xdr:row>
      <xdr:rowOff>0</xdr:rowOff>
    </xdr:from>
    <xdr:to>
      <xdr:col>12</xdr:col>
      <xdr:colOff>304800</xdr:colOff>
      <xdr:row>396</xdr:row>
      <xdr:rowOff>95250</xdr:rowOff>
    </xdr:to>
    <xdr:sp macro="" textlink="">
      <xdr:nvSpPr>
        <xdr:cNvPr id="557" name="TextBox 556"/>
        <xdr:cNvSpPr txBox="1"/>
      </xdr:nvSpPr>
      <xdr:spPr>
        <a:xfrm>
          <a:off x="6705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420</xdr:row>
      <xdr:rowOff>0</xdr:rowOff>
    </xdr:from>
    <xdr:to>
      <xdr:col>2</xdr:col>
      <xdr:colOff>114300</xdr:colOff>
      <xdr:row>425</xdr:row>
      <xdr:rowOff>95250</xdr:rowOff>
    </xdr:to>
    <xdr:sp macro="" textlink="">
      <xdr:nvSpPr>
        <xdr:cNvPr id="558" name="TextBox 557"/>
        <xdr:cNvSpPr txBox="1"/>
      </xdr:nvSpPr>
      <xdr:spPr>
        <a:xfrm>
          <a:off x="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420</xdr:row>
      <xdr:rowOff>0</xdr:rowOff>
    </xdr:from>
    <xdr:to>
      <xdr:col>9</xdr:col>
      <xdr:colOff>114300</xdr:colOff>
      <xdr:row>425</xdr:row>
      <xdr:rowOff>95250</xdr:rowOff>
    </xdr:to>
    <xdr:sp macro="" textlink="">
      <xdr:nvSpPr>
        <xdr:cNvPr id="559" name="TextBox 558"/>
        <xdr:cNvSpPr txBox="1"/>
      </xdr:nvSpPr>
      <xdr:spPr>
        <a:xfrm>
          <a:off x="457200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420</xdr:row>
      <xdr:rowOff>0</xdr:rowOff>
    </xdr:from>
    <xdr:to>
      <xdr:col>5</xdr:col>
      <xdr:colOff>304800</xdr:colOff>
      <xdr:row>426</xdr:row>
      <xdr:rowOff>95250</xdr:rowOff>
    </xdr:to>
    <xdr:sp macro="" textlink="">
      <xdr:nvSpPr>
        <xdr:cNvPr id="560" name="TextBox 559"/>
        <xdr:cNvSpPr txBox="1"/>
      </xdr:nvSpPr>
      <xdr:spPr>
        <a:xfrm>
          <a:off x="2133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420</xdr:row>
      <xdr:rowOff>0</xdr:rowOff>
    </xdr:from>
    <xdr:to>
      <xdr:col>12</xdr:col>
      <xdr:colOff>304800</xdr:colOff>
      <xdr:row>426</xdr:row>
      <xdr:rowOff>95250</xdr:rowOff>
    </xdr:to>
    <xdr:sp macro="" textlink="">
      <xdr:nvSpPr>
        <xdr:cNvPr id="561" name="TextBox 560"/>
        <xdr:cNvSpPr txBox="1"/>
      </xdr:nvSpPr>
      <xdr:spPr>
        <a:xfrm>
          <a:off x="6705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450</xdr:row>
      <xdr:rowOff>0</xdr:rowOff>
    </xdr:from>
    <xdr:to>
      <xdr:col>2</xdr:col>
      <xdr:colOff>114300</xdr:colOff>
      <xdr:row>455</xdr:row>
      <xdr:rowOff>95250</xdr:rowOff>
    </xdr:to>
    <xdr:sp macro="" textlink="">
      <xdr:nvSpPr>
        <xdr:cNvPr id="562" name="TextBox 561"/>
        <xdr:cNvSpPr txBox="1"/>
      </xdr:nvSpPr>
      <xdr:spPr>
        <a:xfrm>
          <a:off x="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9</xdr:col>
      <xdr:colOff>114300</xdr:colOff>
      <xdr:row>455</xdr:row>
      <xdr:rowOff>95250</xdr:rowOff>
    </xdr:to>
    <xdr:sp macro="" textlink="">
      <xdr:nvSpPr>
        <xdr:cNvPr id="563" name="TextBox 562"/>
        <xdr:cNvSpPr txBox="1"/>
      </xdr:nvSpPr>
      <xdr:spPr>
        <a:xfrm>
          <a:off x="457200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450</xdr:row>
      <xdr:rowOff>0</xdr:rowOff>
    </xdr:from>
    <xdr:to>
      <xdr:col>5</xdr:col>
      <xdr:colOff>304800</xdr:colOff>
      <xdr:row>456</xdr:row>
      <xdr:rowOff>95250</xdr:rowOff>
    </xdr:to>
    <xdr:sp macro="" textlink="">
      <xdr:nvSpPr>
        <xdr:cNvPr id="564" name="TextBox 563"/>
        <xdr:cNvSpPr txBox="1"/>
      </xdr:nvSpPr>
      <xdr:spPr>
        <a:xfrm>
          <a:off x="2133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450</xdr:row>
      <xdr:rowOff>0</xdr:rowOff>
    </xdr:from>
    <xdr:to>
      <xdr:col>12</xdr:col>
      <xdr:colOff>304800</xdr:colOff>
      <xdr:row>456</xdr:row>
      <xdr:rowOff>95250</xdr:rowOff>
    </xdr:to>
    <xdr:sp macro="" textlink="">
      <xdr:nvSpPr>
        <xdr:cNvPr id="565" name="TextBox 564"/>
        <xdr:cNvSpPr txBox="1"/>
      </xdr:nvSpPr>
      <xdr:spPr>
        <a:xfrm>
          <a:off x="6705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480</xdr:row>
      <xdr:rowOff>0</xdr:rowOff>
    </xdr:from>
    <xdr:to>
      <xdr:col>2</xdr:col>
      <xdr:colOff>114300</xdr:colOff>
      <xdr:row>485</xdr:row>
      <xdr:rowOff>95250</xdr:rowOff>
    </xdr:to>
    <xdr:sp macro="" textlink="">
      <xdr:nvSpPr>
        <xdr:cNvPr id="566" name="TextBox 565"/>
        <xdr:cNvSpPr txBox="1"/>
      </xdr:nvSpPr>
      <xdr:spPr>
        <a:xfrm>
          <a:off x="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480</xdr:row>
      <xdr:rowOff>0</xdr:rowOff>
    </xdr:from>
    <xdr:to>
      <xdr:col>9</xdr:col>
      <xdr:colOff>114300</xdr:colOff>
      <xdr:row>485</xdr:row>
      <xdr:rowOff>95250</xdr:rowOff>
    </xdr:to>
    <xdr:sp macro="" textlink="">
      <xdr:nvSpPr>
        <xdr:cNvPr id="567" name="TextBox 566"/>
        <xdr:cNvSpPr txBox="1"/>
      </xdr:nvSpPr>
      <xdr:spPr>
        <a:xfrm>
          <a:off x="457200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480</xdr:row>
      <xdr:rowOff>0</xdr:rowOff>
    </xdr:from>
    <xdr:to>
      <xdr:col>5</xdr:col>
      <xdr:colOff>304800</xdr:colOff>
      <xdr:row>486</xdr:row>
      <xdr:rowOff>95250</xdr:rowOff>
    </xdr:to>
    <xdr:sp macro="" textlink="">
      <xdr:nvSpPr>
        <xdr:cNvPr id="568" name="TextBox 567"/>
        <xdr:cNvSpPr txBox="1"/>
      </xdr:nvSpPr>
      <xdr:spPr>
        <a:xfrm>
          <a:off x="2133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480</xdr:row>
      <xdr:rowOff>0</xdr:rowOff>
    </xdr:from>
    <xdr:to>
      <xdr:col>12</xdr:col>
      <xdr:colOff>304800</xdr:colOff>
      <xdr:row>486</xdr:row>
      <xdr:rowOff>95250</xdr:rowOff>
    </xdr:to>
    <xdr:sp macro="" textlink="">
      <xdr:nvSpPr>
        <xdr:cNvPr id="569" name="TextBox 568"/>
        <xdr:cNvSpPr txBox="1"/>
      </xdr:nvSpPr>
      <xdr:spPr>
        <a:xfrm>
          <a:off x="6705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510</xdr:row>
      <xdr:rowOff>0</xdr:rowOff>
    </xdr:from>
    <xdr:to>
      <xdr:col>2</xdr:col>
      <xdr:colOff>114300</xdr:colOff>
      <xdr:row>515</xdr:row>
      <xdr:rowOff>95250</xdr:rowOff>
    </xdr:to>
    <xdr:sp macro="" textlink="">
      <xdr:nvSpPr>
        <xdr:cNvPr id="570" name="TextBox 569"/>
        <xdr:cNvSpPr txBox="1"/>
      </xdr:nvSpPr>
      <xdr:spPr>
        <a:xfrm>
          <a:off x="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510</xdr:row>
      <xdr:rowOff>0</xdr:rowOff>
    </xdr:from>
    <xdr:to>
      <xdr:col>9</xdr:col>
      <xdr:colOff>114300</xdr:colOff>
      <xdr:row>515</xdr:row>
      <xdr:rowOff>95250</xdr:rowOff>
    </xdr:to>
    <xdr:sp macro="" textlink="">
      <xdr:nvSpPr>
        <xdr:cNvPr id="571" name="TextBox 570"/>
        <xdr:cNvSpPr txBox="1"/>
      </xdr:nvSpPr>
      <xdr:spPr>
        <a:xfrm>
          <a:off x="457200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510</xdr:row>
      <xdr:rowOff>0</xdr:rowOff>
    </xdr:from>
    <xdr:to>
      <xdr:col>5</xdr:col>
      <xdr:colOff>304800</xdr:colOff>
      <xdr:row>516</xdr:row>
      <xdr:rowOff>95250</xdr:rowOff>
    </xdr:to>
    <xdr:sp macro="" textlink="">
      <xdr:nvSpPr>
        <xdr:cNvPr id="572" name="TextBox 571"/>
        <xdr:cNvSpPr txBox="1"/>
      </xdr:nvSpPr>
      <xdr:spPr>
        <a:xfrm>
          <a:off x="2133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510</xdr:row>
      <xdr:rowOff>0</xdr:rowOff>
    </xdr:from>
    <xdr:to>
      <xdr:col>12</xdr:col>
      <xdr:colOff>304800</xdr:colOff>
      <xdr:row>516</xdr:row>
      <xdr:rowOff>95250</xdr:rowOff>
    </xdr:to>
    <xdr:sp macro="" textlink="">
      <xdr:nvSpPr>
        <xdr:cNvPr id="573" name="TextBox 572"/>
        <xdr:cNvSpPr txBox="1"/>
      </xdr:nvSpPr>
      <xdr:spPr>
        <a:xfrm>
          <a:off x="6705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540</xdr:row>
      <xdr:rowOff>0</xdr:rowOff>
    </xdr:from>
    <xdr:to>
      <xdr:col>2</xdr:col>
      <xdr:colOff>114300</xdr:colOff>
      <xdr:row>545</xdr:row>
      <xdr:rowOff>95250</xdr:rowOff>
    </xdr:to>
    <xdr:sp macro="" textlink="">
      <xdr:nvSpPr>
        <xdr:cNvPr id="574" name="TextBox 573"/>
        <xdr:cNvSpPr txBox="1"/>
      </xdr:nvSpPr>
      <xdr:spPr>
        <a:xfrm>
          <a:off x="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540</xdr:row>
      <xdr:rowOff>0</xdr:rowOff>
    </xdr:from>
    <xdr:to>
      <xdr:col>9</xdr:col>
      <xdr:colOff>114300</xdr:colOff>
      <xdr:row>545</xdr:row>
      <xdr:rowOff>95250</xdr:rowOff>
    </xdr:to>
    <xdr:sp macro="" textlink="">
      <xdr:nvSpPr>
        <xdr:cNvPr id="575" name="TextBox 574"/>
        <xdr:cNvSpPr txBox="1"/>
      </xdr:nvSpPr>
      <xdr:spPr>
        <a:xfrm>
          <a:off x="457200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540</xdr:row>
      <xdr:rowOff>0</xdr:rowOff>
    </xdr:from>
    <xdr:to>
      <xdr:col>5</xdr:col>
      <xdr:colOff>304800</xdr:colOff>
      <xdr:row>546</xdr:row>
      <xdr:rowOff>95250</xdr:rowOff>
    </xdr:to>
    <xdr:sp macro="" textlink="">
      <xdr:nvSpPr>
        <xdr:cNvPr id="576" name="TextBox 575"/>
        <xdr:cNvSpPr txBox="1"/>
      </xdr:nvSpPr>
      <xdr:spPr>
        <a:xfrm>
          <a:off x="2133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540</xdr:row>
      <xdr:rowOff>0</xdr:rowOff>
    </xdr:from>
    <xdr:to>
      <xdr:col>12</xdr:col>
      <xdr:colOff>304800</xdr:colOff>
      <xdr:row>546</xdr:row>
      <xdr:rowOff>95250</xdr:rowOff>
    </xdr:to>
    <xdr:sp macro="" textlink="">
      <xdr:nvSpPr>
        <xdr:cNvPr id="577" name="TextBox 576"/>
        <xdr:cNvSpPr txBox="1"/>
      </xdr:nvSpPr>
      <xdr:spPr>
        <a:xfrm>
          <a:off x="6705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570</xdr:row>
      <xdr:rowOff>0</xdr:rowOff>
    </xdr:from>
    <xdr:to>
      <xdr:col>2</xdr:col>
      <xdr:colOff>114300</xdr:colOff>
      <xdr:row>575</xdr:row>
      <xdr:rowOff>95250</xdr:rowOff>
    </xdr:to>
    <xdr:sp macro="" textlink="">
      <xdr:nvSpPr>
        <xdr:cNvPr id="578" name="TextBox 577"/>
        <xdr:cNvSpPr txBox="1"/>
      </xdr:nvSpPr>
      <xdr:spPr>
        <a:xfrm>
          <a:off x="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570</xdr:row>
      <xdr:rowOff>0</xdr:rowOff>
    </xdr:from>
    <xdr:to>
      <xdr:col>9</xdr:col>
      <xdr:colOff>114300</xdr:colOff>
      <xdr:row>575</xdr:row>
      <xdr:rowOff>95250</xdr:rowOff>
    </xdr:to>
    <xdr:sp macro="" textlink="">
      <xdr:nvSpPr>
        <xdr:cNvPr id="579" name="TextBox 578"/>
        <xdr:cNvSpPr txBox="1"/>
      </xdr:nvSpPr>
      <xdr:spPr>
        <a:xfrm>
          <a:off x="457200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570</xdr:row>
      <xdr:rowOff>0</xdr:rowOff>
    </xdr:from>
    <xdr:to>
      <xdr:col>5</xdr:col>
      <xdr:colOff>304800</xdr:colOff>
      <xdr:row>576</xdr:row>
      <xdr:rowOff>95250</xdr:rowOff>
    </xdr:to>
    <xdr:sp macro="" textlink="">
      <xdr:nvSpPr>
        <xdr:cNvPr id="580" name="TextBox 579"/>
        <xdr:cNvSpPr txBox="1"/>
      </xdr:nvSpPr>
      <xdr:spPr>
        <a:xfrm>
          <a:off x="2133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570</xdr:row>
      <xdr:rowOff>0</xdr:rowOff>
    </xdr:from>
    <xdr:to>
      <xdr:col>12</xdr:col>
      <xdr:colOff>304800</xdr:colOff>
      <xdr:row>576</xdr:row>
      <xdr:rowOff>95250</xdr:rowOff>
    </xdr:to>
    <xdr:sp macro="" textlink="">
      <xdr:nvSpPr>
        <xdr:cNvPr id="581" name="TextBox 580"/>
        <xdr:cNvSpPr txBox="1"/>
      </xdr:nvSpPr>
      <xdr:spPr>
        <a:xfrm>
          <a:off x="6705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2</xdr:col>
      <xdr:colOff>114300</xdr:colOff>
      <xdr:row>605</xdr:row>
      <xdr:rowOff>95250</xdr:rowOff>
    </xdr:to>
    <xdr:sp macro="" textlink="">
      <xdr:nvSpPr>
        <xdr:cNvPr id="582" name="TextBox 581"/>
        <xdr:cNvSpPr txBox="1"/>
      </xdr:nvSpPr>
      <xdr:spPr>
        <a:xfrm>
          <a:off x="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600</xdr:row>
      <xdr:rowOff>0</xdr:rowOff>
    </xdr:from>
    <xdr:to>
      <xdr:col>9</xdr:col>
      <xdr:colOff>114300</xdr:colOff>
      <xdr:row>605</xdr:row>
      <xdr:rowOff>95250</xdr:rowOff>
    </xdr:to>
    <xdr:sp macro="" textlink="">
      <xdr:nvSpPr>
        <xdr:cNvPr id="583" name="TextBox 582"/>
        <xdr:cNvSpPr txBox="1"/>
      </xdr:nvSpPr>
      <xdr:spPr>
        <a:xfrm>
          <a:off x="457200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600</xdr:row>
      <xdr:rowOff>0</xdr:rowOff>
    </xdr:from>
    <xdr:to>
      <xdr:col>5</xdr:col>
      <xdr:colOff>304800</xdr:colOff>
      <xdr:row>606</xdr:row>
      <xdr:rowOff>95250</xdr:rowOff>
    </xdr:to>
    <xdr:sp macro="" textlink="">
      <xdr:nvSpPr>
        <xdr:cNvPr id="584" name="TextBox 583"/>
        <xdr:cNvSpPr txBox="1"/>
      </xdr:nvSpPr>
      <xdr:spPr>
        <a:xfrm>
          <a:off x="2133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600</xdr:row>
      <xdr:rowOff>0</xdr:rowOff>
    </xdr:from>
    <xdr:to>
      <xdr:col>12</xdr:col>
      <xdr:colOff>304800</xdr:colOff>
      <xdr:row>606</xdr:row>
      <xdr:rowOff>95250</xdr:rowOff>
    </xdr:to>
    <xdr:sp macro="" textlink="">
      <xdr:nvSpPr>
        <xdr:cNvPr id="585" name="TextBox 584"/>
        <xdr:cNvSpPr txBox="1"/>
      </xdr:nvSpPr>
      <xdr:spPr>
        <a:xfrm>
          <a:off x="6705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630</xdr:row>
      <xdr:rowOff>0</xdr:rowOff>
    </xdr:from>
    <xdr:to>
      <xdr:col>2</xdr:col>
      <xdr:colOff>114300</xdr:colOff>
      <xdr:row>635</xdr:row>
      <xdr:rowOff>95250</xdr:rowOff>
    </xdr:to>
    <xdr:sp macro="" textlink="">
      <xdr:nvSpPr>
        <xdr:cNvPr id="586" name="TextBox 585"/>
        <xdr:cNvSpPr txBox="1"/>
      </xdr:nvSpPr>
      <xdr:spPr>
        <a:xfrm>
          <a:off x="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630</xdr:row>
      <xdr:rowOff>0</xdr:rowOff>
    </xdr:from>
    <xdr:to>
      <xdr:col>9</xdr:col>
      <xdr:colOff>114300</xdr:colOff>
      <xdr:row>635</xdr:row>
      <xdr:rowOff>95250</xdr:rowOff>
    </xdr:to>
    <xdr:sp macro="" textlink="">
      <xdr:nvSpPr>
        <xdr:cNvPr id="587" name="TextBox 586"/>
        <xdr:cNvSpPr txBox="1"/>
      </xdr:nvSpPr>
      <xdr:spPr>
        <a:xfrm>
          <a:off x="457200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630</xdr:row>
      <xdr:rowOff>0</xdr:rowOff>
    </xdr:from>
    <xdr:to>
      <xdr:col>5</xdr:col>
      <xdr:colOff>304800</xdr:colOff>
      <xdr:row>636</xdr:row>
      <xdr:rowOff>95250</xdr:rowOff>
    </xdr:to>
    <xdr:sp macro="" textlink="">
      <xdr:nvSpPr>
        <xdr:cNvPr id="588" name="TextBox 587"/>
        <xdr:cNvSpPr txBox="1"/>
      </xdr:nvSpPr>
      <xdr:spPr>
        <a:xfrm>
          <a:off x="2133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630</xdr:row>
      <xdr:rowOff>0</xdr:rowOff>
    </xdr:from>
    <xdr:to>
      <xdr:col>12</xdr:col>
      <xdr:colOff>304800</xdr:colOff>
      <xdr:row>636</xdr:row>
      <xdr:rowOff>95250</xdr:rowOff>
    </xdr:to>
    <xdr:sp macro="" textlink="">
      <xdr:nvSpPr>
        <xdr:cNvPr id="589" name="TextBox 588"/>
        <xdr:cNvSpPr txBox="1"/>
      </xdr:nvSpPr>
      <xdr:spPr>
        <a:xfrm>
          <a:off x="6705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660</xdr:row>
      <xdr:rowOff>0</xdr:rowOff>
    </xdr:from>
    <xdr:to>
      <xdr:col>2</xdr:col>
      <xdr:colOff>114300</xdr:colOff>
      <xdr:row>665</xdr:row>
      <xdr:rowOff>95250</xdr:rowOff>
    </xdr:to>
    <xdr:sp macro="" textlink="">
      <xdr:nvSpPr>
        <xdr:cNvPr id="590" name="TextBox 589"/>
        <xdr:cNvSpPr txBox="1"/>
      </xdr:nvSpPr>
      <xdr:spPr>
        <a:xfrm>
          <a:off x="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660</xdr:row>
      <xdr:rowOff>0</xdr:rowOff>
    </xdr:from>
    <xdr:to>
      <xdr:col>9</xdr:col>
      <xdr:colOff>114300</xdr:colOff>
      <xdr:row>665</xdr:row>
      <xdr:rowOff>95250</xdr:rowOff>
    </xdr:to>
    <xdr:sp macro="" textlink="">
      <xdr:nvSpPr>
        <xdr:cNvPr id="591" name="TextBox 590"/>
        <xdr:cNvSpPr txBox="1"/>
      </xdr:nvSpPr>
      <xdr:spPr>
        <a:xfrm>
          <a:off x="457200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660</xdr:row>
      <xdr:rowOff>0</xdr:rowOff>
    </xdr:from>
    <xdr:to>
      <xdr:col>5</xdr:col>
      <xdr:colOff>304800</xdr:colOff>
      <xdr:row>666</xdr:row>
      <xdr:rowOff>95250</xdr:rowOff>
    </xdr:to>
    <xdr:sp macro="" textlink="">
      <xdr:nvSpPr>
        <xdr:cNvPr id="592" name="TextBox 591"/>
        <xdr:cNvSpPr txBox="1"/>
      </xdr:nvSpPr>
      <xdr:spPr>
        <a:xfrm>
          <a:off x="2133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660</xdr:row>
      <xdr:rowOff>0</xdr:rowOff>
    </xdr:from>
    <xdr:to>
      <xdr:col>12</xdr:col>
      <xdr:colOff>304800</xdr:colOff>
      <xdr:row>666</xdr:row>
      <xdr:rowOff>95250</xdr:rowOff>
    </xdr:to>
    <xdr:sp macro="" textlink="">
      <xdr:nvSpPr>
        <xdr:cNvPr id="593" name="TextBox 592"/>
        <xdr:cNvSpPr txBox="1"/>
      </xdr:nvSpPr>
      <xdr:spPr>
        <a:xfrm>
          <a:off x="6705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690</xdr:row>
      <xdr:rowOff>0</xdr:rowOff>
    </xdr:from>
    <xdr:to>
      <xdr:col>2</xdr:col>
      <xdr:colOff>114300</xdr:colOff>
      <xdr:row>695</xdr:row>
      <xdr:rowOff>95250</xdr:rowOff>
    </xdr:to>
    <xdr:sp macro="" textlink="">
      <xdr:nvSpPr>
        <xdr:cNvPr id="594" name="TextBox 593"/>
        <xdr:cNvSpPr txBox="1"/>
      </xdr:nvSpPr>
      <xdr:spPr>
        <a:xfrm>
          <a:off x="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9</xdr:col>
      <xdr:colOff>114300</xdr:colOff>
      <xdr:row>695</xdr:row>
      <xdr:rowOff>95250</xdr:rowOff>
    </xdr:to>
    <xdr:sp macro="" textlink="">
      <xdr:nvSpPr>
        <xdr:cNvPr id="595" name="TextBox 594"/>
        <xdr:cNvSpPr txBox="1"/>
      </xdr:nvSpPr>
      <xdr:spPr>
        <a:xfrm>
          <a:off x="457200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690</xdr:row>
      <xdr:rowOff>0</xdr:rowOff>
    </xdr:from>
    <xdr:to>
      <xdr:col>5</xdr:col>
      <xdr:colOff>304800</xdr:colOff>
      <xdr:row>696</xdr:row>
      <xdr:rowOff>95250</xdr:rowOff>
    </xdr:to>
    <xdr:sp macro="" textlink="">
      <xdr:nvSpPr>
        <xdr:cNvPr id="596" name="TextBox 595"/>
        <xdr:cNvSpPr txBox="1"/>
      </xdr:nvSpPr>
      <xdr:spPr>
        <a:xfrm>
          <a:off x="2133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690</xdr:row>
      <xdr:rowOff>0</xdr:rowOff>
    </xdr:from>
    <xdr:to>
      <xdr:col>12</xdr:col>
      <xdr:colOff>304800</xdr:colOff>
      <xdr:row>696</xdr:row>
      <xdr:rowOff>95250</xdr:rowOff>
    </xdr:to>
    <xdr:sp macro="" textlink="">
      <xdr:nvSpPr>
        <xdr:cNvPr id="597" name="TextBox 596"/>
        <xdr:cNvSpPr txBox="1"/>
      </xdr:nvSpPr>
      <xdr:spPr>
        <a:xfrm>
          <a:off x="6705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720</xdr:row>
      <xdr:rowOff>0</xdr:rowOff>
    </xdr:from>
    <xdr:to>
      <xdr:col>2</xdr:col>
      <xdr:colOff>114300</xdr:colOff>
      <xdr:row>725</xdr:row>
      <xdr:rowOff>95250</xdr:rowOff>
    </xdr:to>
    <xdr:sp macro="" textlink="">
      <xdr:nvSpPr>
        <xdr:cNvPr id="598" name="TextBox 597"/>
        <xdr:cNvSpPr txBox="1"/>
      </xdr:nvSpPr>
      <xdr:spPr>
        <a:xfrm>
          <a:off x="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720</xdr:row>
      <xdr:rowOff>0</xdr:rowOff>
    </xdr:from>
    <xdr:to>
      <xdr:col>9</xdr:col>
      <xdr:colOff>114300</xdr:colOff>
      <xdr:row>725</xdr:row>
      <xdr:rowOff>95250</xdr:rowOff>
    </xdr:to>
    <xdr:sp macro="" textlink="">
      <xdr:nvSpPr>
        <xdr:cNvPr id="599" name="TextBox 598"/>
        <xdr:cNvSpPr txBox="1"/>
      </xdr:nvSpPr>
      <xdr:spPr>
        <a:xfrm>
          <a:off x="457200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720</xdr:row>
      <xdr:rowOff>0</xdr:rowOff>
    </xdr:from>
    <xdr:to>
      <xdr:col>5</xdr:col>
      <xdr:colOff>304800</xdr:colOff>
      <xdr:row>726</xdr:row>
      <xdr:rowOff>95250</xdr:rowOff>
    </xdr:to>
    <xdr:sp macro="" textlink="">
      <xdr:nvSpPr>
        <xdr:cNvPr id="600" name="TextBox 599"/>
        <xdr:cNvSpPr txBox="1"/>
      </xdr:nvSpPr>
      <xdr:spPr>
        <a:xfrm>
          <a:off x="2133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720</xdr:row>
      <xdr:rowOff>0</xdr:rowOff>
    </xdr:from>
    <xdr:to>
      <xdr:col>12</xdr:col>
      <xdr:colOff>304800</xdr:colOff>
      <xdr:row>726</xdr:row>
      <xdr:rowOff>95250</xdr:rowOff>
    </xdr:to>
    <xdr:sp macro="" textlink="">
      <xdr:nvSpPr>
        <xdr:cNvPr id="601" name="TextBox 600"/>
        <xdr:cNvSpPr txBox="1"/>
      </xdr:nvSpPr>
      <xdr:spPr>
        <a:xfrm>
          <a:off x="6705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750</xdr:row>
      <xdr:rowOff>0</xdr:rowOff>
    </xdr:from>
    <xdr:to>
      <xdr:col>2</xdr:col>
      <xdr:colOff>114300</xdr:colOff>
      <xdr:row>755</xdr:row>
      <xdr:rowOff>95250</xdr:rowOff>
    </xdr:to>
    <xdr:sp macro="" textlink="">
      <xdr:nvSpPr>
        <xdr:cNvPr id="602" name="TextBox 601"/>
        <xdr:cNvSpPr txBox="1"/>
      </xdr:nvSpPr>
      <xdr:spPr>
        <a:xfrm>
          <a:off x="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750</xdr:row>
      <xdr:rowOff>0</xdr:rowOff>
    </xdr:from>
    <xdr:to>
      <xdr:col>9</xdr:col>
      <xdr:colOff>114300</xdr:colOff>
      <xdr:row>755</xdr:row>
      <xdr:rowOff>95250</xdr:rowOff>
    </xdr:to>
    <xdr:sp macro="" textlink="">
      <xdr:nvSpPr>
        <xdr:cNvPr id="603" name="TextBox 602"/>
        <xdr:cNvSpPr txBox="1"/>
      </xdr:nvSpPr>
      <xdr:spPr>
        <a:xfrm>
          <a:off x="457200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750</xdr:row>
      <xdr:rowOff>0</xdr:rowOff>
    </xdr:from>
    <xdr:to>
      <xdr:col>5</xdr:col>
      <xdr:colOff>304800</xdr:colOff>
      <xdr:row>756</xdr:row>
      <xdr:rowOff>95250</xdr:rowOff>
    </xdr:to>
    <xdr:sp macro="" textlink="">
      <xdr:nvSpPr>
        <xdr:cNvPr id="604" name="TextBox 603"/>
        <xdr:cNvSpPr txBox="1"/>
      </xdr:nvSpPr>
      <xdr:spPr>
        <a:xfrm>
          <a:off x="2133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750</xdr:row>
      <xdr:rowOff>0</xdr:rowOff>
    </xdr:from>
    <xdr:to>
      <xdr:col>12</xdr:col>
      <xdr:colOff>304800</xdr:colOff>
      <xdr:row>756</xdr:row>
      <xdr:rowOff>95250</xdr:rowOff>
    </xdr:to>
    <xdr:sp macro="" textlink="">
      <xdr:nvSpPr>
        <xdr:cNvPr id="605" name="TextBox 604"/>
        <xdr:cNvSpPr txBox="1"/>
      </xdr:nvSpPr>
      <xdr:spPr>
        <a:xfrm>
          <a:off x="6705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780</xdr:row>
      <xdr:rowOff>0</xdr:rowOff>
    </xdr:from>
    <xdr:to>
      <xdr:col>2</xdr:col>
      <xdr:colOff>114300</xdr:colOff>
      <xdr:row>785</xdr:row>
      <xdr:rowOff>95250</xdr:rowOff>
    </xdr:to>
    <xdr:sp macro="" textlink="">
      <xdr:nvSpPr>
        <xdr:cNvPr id="606" name="TextBox 605"/>
        <xdr:cNvSpPr txBox="1"/>
      </xdr:nvSpPr>
      <xdr:spPr>
        <a:xfrm>
          <a:off x="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780</xdr:row>
      <xdr:rowOff>0</xdr:rowOff>
    </xdr:from>
    <xdr:to>
      <xdr:col>9</xdr:col>
      <xdr:colOff>114300</xdr:colOff>
      <xdr:row>785</xdr:row>
      <xdr:rowOff>95250</xdr:rowOff>
    </xdr:to>
    <xdr:sp macro="" textlink="">
      <xdr:nvSpPr>
        <xdr:cNvPr id="607" name="TextBox 606"/>
        <xdr:cNvSpPr txBox="1"/>
      </xdr:nvSpPr>
      <xdr:spPr>
        <a:xfrm>
          <a:off x="457200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780</xdr:row>
      <xdr:rowOff>0</xdr:rowOff>
    </xdr:from>
    <xdr:to>
      <xdr:col>5</xdr:col>
      <xdr:colOff>304800</xdr:colOff>
      <xdr:row>786</xdr:row>
      <xdr:rowOff>95250</xdr:rowOff>
    </xdr:to>
    <xdr:sp macro="" textlink="">
      <xdr:nvSpPr>
        <xdr:cNvPr id="608" name="TextBox 607"/>
        <xdr:cNvSpPr txBox="1"/>
      </xdr:nvSpPr>
      <xdr:spPr>
        <a:xfrm>
          <a:off x="2133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780</xdr:row>
      <xdr:rowOff>0</xdr:rowOff>
    </xdr:from>
    <xdr:to>
      <xdr:col>12</xdr:col>
      <xdr:colOff>304800</xdr:colOff>
      <xdr:row>786</xdr:row>
      <xdr:rowOff>95250</xdr:rowOff>
    </xdr:to>
    <xdr:sp macro="" textlink="">
      <xdr:nvSpPr>
        <xdr:cNvPr id="609" name="TextBox 608"/>
        <xdr:cNvSpPr txBox="1"/>
      </xdr:nvSpPr>
      <xdr:spPr>
        <a:xfrm>
          <a:off x="6705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810</xdr:row>
      <xdr:rowOff>0</xdr:rowOff>
    </xdr:from>
    <xdr:to>
      <xdr:col>2</xdr:col>
      <xdr:colOff>114300</xdr:colOff>
      <xdr:row>815</xdr:row>
      <xdr:rowOff>95250</xdr:rowOff>
    </xdr:to>
    <xdr:sp macro="" textlink="">
      <xdr:nvSpPr>
        <xdr:cNvPr id="610" name="TextBox 609"/>
        <xdr:cNvSpPr txBox="1"/>
      </xdr:nvSpPr>
      <xdr:spPr>
        <a:xfrm>
          <a:off x="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810</xdr:row>
      <xdr:rowOff>0</xdr:rowOff>
    </xdr:from>
    <xdr:to>
      <xdr:col>9</xdr:col>
      <xdr:colOff>114300</xdr:colOff>
      <xdr:row>815</xdr:row>
      <xdr:rowOff>95250</xdr:rowOff>
    </xdr:to>
    <xdr:sp macro="" textlink="">
      <xdr:nvSpPr>
        <xdr:cNvPr id="611" name="TextBox 610"/>
        <xdr:cNvSpPr txBox="1"/>
      </xdr:nvSpPr>
      <xdr:spPr>
        <a:xfrm>
          <a:off x="457200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810</xdr:row>
      <xdr:rowOff>0</xdr:rowOff>
    </xdr:from>
    <xdr:to>
      <xdr:col>5</xdr:col>
      <xdr:colOff>304800</xdr:colOff>
      <xdr:row>816</xdr:row>
      <xdr:rowOff>95250</xdr:rowOff>
    </xdr:to>
    <xdr:sp macro="" textlink="">
      <xdr:nvSpPr>
        <xdr:cNvPr id="612" name="TextBox 611"/>
        <xdr:cNvSpPr txBox="1"/>
      </xdr:nvSpPr>
      <xdr:spPr>
        <a:xfrm>
          <a:off x="2133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810</xdr:row>
      <xdr:rowOff>0</xdr:rowOff>
    </xdr:from>
    <xdr:to>
      <xdr:col>12</xdr:col>
      <xdr:colOff>304800</xdr:colOff>
      <xdr:row>816</xdr:row>
      <xdr:rowOff>95250</xdr:rowOff>
    </xdr:to>
    <xdr:sp macro="" textlink="">
      <xdr:nvSpPr>
        <xdr:cNvPr id="613" name="TextBox 612"/>
        <xdr:cNvSpPr txBox="1"/>
      </xdr:nvSpPr>
      <xdr:spPr>
        <a:xfrm>
          <a:off x="6705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840</xdr:row>
      <xdr:rowOff>0</xdr:rowOff>
    </xdr:from>
    <xdr:to>
      <xdr:col>2</xdr:col>
      <xdr:colOff>114300</xdr:colOff>
      <xdr:row>845</xdr:row>
      <xdr:rowOff>95250</xdr:rowOff>
    </xdr:to>
    <xdr:sp macro="" textlink="">
      <xdr:nvSpPr>
        <xdr:cNvPr id="614" name="TextBox 613"/>
        <xdr:cNvSpPr txBox="1"/>
      </xdr:nvSpPr>
      <xdr:spPr>
        <a:xfrm>
          <a:off x="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9</xdr:col>
      <xdr:colOff>114300</xdr:colOff>
      <xdr:row>845</xdr:row>
      <xdr:rowOff>95250</xdr:rowOff>
    </xdr:to>
    <xdr:sp macro="" textlink="">
      <xdr:nvSpPr>
        <xdr:cNvPr id="615" name="TextBox 614"/>
        <xdr:cNvSpPr txBox="1"/>
      </xdr:nvSpPr>
      <xdr:spPr>
        <a:xfrm>
          <a:off x="457200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840</xdr:row>
      <xdr:rowOff>0</xdr:rowOff>
    </xdr:from>
    <xdr:to>
      <xdr:col>5</xdr:col>
      <xdr:colOff>304800</xdr:colOff>
      <xdr:row>846</xdr:row>
      <xdr:rowOff>95250</xdr:rowOff>
    </xdr:to>
    <xdr:sp macro="" textlink="">
      <xdr:nvSpPr>
        <xdr:cNvPr id="616" name="TextBox 615"/>
        <xdr:cNvSpPr txBox="1"/>
      </xdr:nvSpPr>
      <xdr:spPr>
        <a:xfrm>
          <a:off x="2133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840</xdr:row>
      <xdr:rowOff>0</xdr:rowOff>
    </xdr:from>
    <xdr:to>
      <xdr:col>12</xdr:col>
      <xdr:colOff>304800</xdr:colOff>
      <xdr:row>846</xdr:row>
      <xdr:rowOff>95250</xdr:rowOff>
    </xdr:to>
    <xdr:sp macro="" textlink="">
      <xdr:nvSpPr>
        <xdr:cNvPr id="617" name="TextBox 616"/>
        <xdr:cNvSpPr txBox="1"/>
      </xdr:nvSpPr>
      <xdr:spPr>
        <a:xfrm>
          <a:off x="6705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870</xdr:row>
      <xdr:rowOff>0</xdr:rowOff>
    </xdr:from>
    <xdr:to>
      <xdr:col>2</xdr:col>
      <xdr:colOff>114300</xdr:colOff>
      <xdr:row>875</xdr:row>
      <xdr:rowOff>95250</xdr:rowOff>
    </xdr:to>
    <xdr:sp macro="" textlink="">
      <xdr:nvSpPr>
        <xdr:cNvPr id="618" name="TextBox 617"/>
        <xdr:cNvSpPr txBox="1"/>
      </xdr:nvSpPr>
      <xdr:spPr>
        <a:xfrm>
          <a:off x="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870</xdr:row>
      <xdr:rowOff>0</xdr:rowOff>
    </xdr:from>
    <xdr:to>
      <xdr:col>9</xdr:col>
      <xdr:colOff>114300</xdr:colOff>
      <xdr:row>875</xdr:row>
      <xdr:rowOff>95250</xdr:rowOff>
    </xdr:to>
    <xdr:sp macro="" textlink="">
      <xdr:nvSpPr>
        <xdr:cNvPr id="619" name="TextBox 618"/>
        <xdr:cNvSpPr txBox="1"/>
      </xdr:nvSpPr>
      <xdr:spPr>
        <a:xfrm>
          <a:off x="457200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870</xdr:row>
      <xdr:rowOff>0</xdr:rowOff>
    </xdr:from>
    <xdr:to>
      <xdr:col>5</xdr:col>
      <xdr:colOff>304800</xdr:colOff>
      <xdr:row>876</xdr:row>
      <xdr:rowOff>95250</xdr:rowOff>
    </xdr:to>
    <xdr:sp macro="" textlink="">
      <xdr:nvSpPr>
        <xdr:cNvPr id="620" name="TextBox 619"/>
        <xdr:cNvSpPr txBox="1"/>
      </xdr:nvSpPr>
      <xdr:spPr>
        <a:xfrm>
          <a:off x="2133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870</xdr:row>
      <xdr:rowOff>0</xdr:rowOff>
    </xdr:from>
    <xdr:to>
      <xdr:col>12</xdr:col>
      <xdr:colOff>304800</xdr:colOff>
      <xdr:row>876</xdr:row>
      <xdr:rowOff>95250</xdr:rowOff>
    </xdr:to>
    <xdr:sp macro="" textlink="">
      <xdr:nvSpPr>
        <xdr:cNvPr id="621" name="TextBox 620"/>
        <xdr:cNvSpPr txBox="1"/>
      </xdr:nvSpPr>
      <xdr:spPr>
        <a:xfrm>
          <a:off x="6705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900</xdr:row>
      <xdr:rowOff>0</xdr:rowOff>
    </xdr:from>
    <xdr:to>
      <xdr:col>2</xdr:col>
      <xdr:colOff>114300</xdr:colOff>
      <xdr:row>905</xdr:row>
      <xdr:rowOff>95250</xdr:rowOff>
    </xdr:to>
    <xdr:sp macro="" textlink="">
      <xdr:nvSpPr>
        <xdr:cNvPr id="622" name="TextBox 621"/>
        <xdr:cNvSpPr txBox="1"/>
      </xdr:nvSpPr>
      <xdr:spPr>
        <a:xfrm>
          <a:off x="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900</xdr:row>
      <xdr:rowOff>0</xdr:rowOff>
    </xdr:from>
    <xdr:to>
      <xdr:col>9</xdr:col>
      <xdr:colOff>114300</xdr:colOff>
      <xdr:row>905</xdr:row>
      <xdr:rowOff>95250</xdr:rowOff>
    </xdr:to>
    <xdr:sp macro="" textlink="">
      <xdr:nvSpPr>
        <xdr:cNvPr id="623" name="TextBox 622"/>
        <xdr:cNvSpPr txBox="1"/>
      </xdr:nvSpPr>
      <xdr:spPr>
        <a:xfrm>
          <a:off x="457200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900</xdr:row>
      <xdr:rowOff>0</xdr:rowOff>
    </xdr:from>
    <xdr:to>
      <xdr:col>5</xdr:col>
      <xdr:colOff>304800</xdr:colOff>
      <xdr:row>906</xdr:row>
      <xdr:rowOff>95250</xdr:rowOff>
    </xdr:to>
    <xdr:sp macro="" textlink="">
      <xdr:nvSpPr>
        <xdr:cNvPr id="624" name="TextBox 623"/>
        <xdr:cNvSpPr txBox="1"/>
      </xdr:nvSpPr>
      <xdr:spPr>
        <a:xfrm>
          <a:off x="2133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900</xdr:row>
      <xdr:rowOff>0</xdr:rowOff>
    </xdr:from>
    <xdr:to>
      <xdr:col>12</xdr:col>
      <xdr:colOff>304800</xdr:colOff>
      <xdr:row>906</xdr:row>
      <xdr:rowOff>95250</xdr:rowOff>
    </xdr:to>
    <xdr:sp macro="" textlink="">
      <xdr:nvSpPr>
        <xdr:cNvPr id="625" name="TextBox 624"/>
        <xdr:cNvSpPr txBox="1"/>
      </xdr:nvSpPr>
      <xdr:spPr>
        <a:xfrm>
          <a:off x="6705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930</xdr:row>
      <xdr:rowOff>0</xdr:rowOff>
    </xdr:from>
    <xdr:to>
      <xdr:col>2</xdr:col>
      <xdr:colOff>114300</xdr:colOff>
      <xdr:row>935</xdr:row>
      <xdr:rowOff>95250</xdr:rowOff>
    </xdr:to>
    <xdr:sp macro="" textlink="">
      <xdr:nvSpPr>
        <xdr:cNvPr id="626" name="TextBox 625"/>
        <xdr:cNvSpPr txBox="1"/>
      </xdr:nvSpPr>
      <xdr:spPr>
        <a:xfrm>
          <a:off x="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930</xdr:row>
      <xdr:rowOff>0</xdr:rowOff>
    </xdr:from>
    <xdr:to>
      <xdr:col>9</xdr:col>
      <xdr:colOff>114300</xdr:colOff>
      <xdr:row>935</xdr:row>
      <xdr:rowOff>95250</xdr:rowOff>
    </xdr:to>
    <xdr:sp macro="" textlink="">
      <xdr:nvSpPr>
        <xdr:cNvPr id="627" name="TextBox 626"/>
        <xdr:cNvSpPr txBox="1"/>
      </xdr:nvSpPr>
      <xdr:spPr>
        <a:xfrm>
          <a:off x="457200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930</xdr:row>
      <xdr:rowOff>0</xdr:rowOff>
    </xdr:from>
    <xdr:to>
      <xdr:col>5</xdr:col>
      <xdr:colOff>304800</xdr:colOff>
      <xdr:row>936</xdr:row>
      <xdr:rowOff>95250</xdr:rowOff>
    </xdr:to>
    <xdr:sp macro="" textlink="">
      <xdr:nvSpPr>
        <xdr:cNvPr id="628" name="TextBox 627"/>
        <xdr:cNvSpPr txBox="1"/>
      </xdr:nvSpPr>
      <xdr:spPr>
        <a:xfrm>
          <a:off x="2133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930</xdr:row>
      <xdr:rowOff>0</xdr:rowOff>
    </xdr:from>
    <xdr:to>
      <xdr:col>12</xdr:col>
      <xdr:colOff>304800</xdr:colOff>
      <xdr:row>936</xdr:row>
      <xdr:rowOff>95250</xdr:rowOff>
    </xdr:to>
    <xdr:sp macro="" textlink="">
      <xdr:nvSpPr>
        <xdr:cNvPr id="629" name="TextBox 628"/>
        <xdr:cNvSpPr txBox="1"/>
      </xdr:nvSpPr>
      <xdr:spPr>
        <a:xfrm>
          <a:off x="6705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960</xdr:row>
      <xdr:rowOff>0</xdr:rowOff>
    </xdr:from>
    <xdr:to>
      <xdr:col>2</xdr:col>
      <xdr:colOff>114300</xdr:colOff>
      <xdr:row>965</xdr:row>
      <xdr:rowOff>95250</xdr:rowOff>
    </xdr:to>
    <xdr:sp macro="" textlink="">
      <xdr:nvSpPr>
        <xdr:cNvPr id="630" name="TextBox 629"/>
        <xdr:cNvSpPr txBox="1"/>
      </xdr:nvSpPr>
      <xdr:spPr>
        <a:xfrm>
          <a:off x="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960</xdr:row>
      <xdr:rowOff>0</xdr:rowOff>
    </xdr:from>
    <xdr:to>
      <xdr:col>9</xdr:col>
      <xdr:colOff>114300</xdr:colOff>
      <xdr:row>965</xdr:row>
      <xdr:rowOff>95250</xdr:rowOff>
    </xdr:to>
    <xdr:sp macro="" textlink="">
      <xdr:nvSpPr>
        <xdr:cNvPr id="631" name="TextBox 630"/>
        <xdr:cNvSpPr txBox="1"/>
      </xdr:nvSpPr>
      <xdr:spPr>
        <a:xfrm>
          <a:off x="457200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960</xdr:row>
      <xdr:rowOff>0</xdr:rowOff>
    </xdr:from>
    <xdr:to>
      <xdr:col>5</xdr:col>
      <xdr:colOff>304800</xdr:colOff>
      <xdr:row>966</xdr:row>
      <xdr:rowOff>95250</xdr:rowOff>
    </xdr:to>
    <xdr:sp macro="" textlink="">
      <xdr:nvSpPr>
        <xdr:cNvPr id="632" name="TextBox 631"/>
        <xdr:cNvSpPr txBox="1"/>
      </xdr:nvSpPr>
      <xdr:spPr>
        <a:xfrm>
          <a:off x="2133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960</xdr:row>
      <xdr:rowOff>0</xdr:rowOff>
    </xdr:from>
    <xdr:to>
      <xdr:col>12</xdr:col>
      <xdr:colOff>304800</xdr:colOff>
      <xdr:row>966</xdr:row>
      <xdr:rowOff>95250</xdr:rowOff>
    </xdr:to>
    <xdr:sp macro="" textlink="">
      <xdr:nvSpPr>
        <xdr:cNvPr id="633" name="TextBox 632"/>
        <xdr:cNvSpPr txBox="1"/>
      </xdr:nvSpPr>
      <xdr:spPr>
        <a:xfrm>
          <a:off x="6705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990</xdr:row>
      <xdr:rowOff>0</xdr:rowOff>
    </xdr:from>
    <xdr:to>
      <xdr:col>2</xdr:col>
      <xdr:colOff>114300</xdr:colOff>
      <xdr:row>995</xdr:row>
      <xdr:rowOff>95250</xdr:rowOff>
    </xdr:to>
    <xdr:sp macro="" textlink="">
      <xdr:nvSpPr>
        <xdr:cNvPr id="634" name="TextBox 633"/>
        <xdr:cNvSpPr txBox="1"/>
      </xdr:nvSpPr>
      <xdr:spPr>
        <a:xfrm>
          <a:off x="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990</xdr:row>
      <xdr:rowOff>0</xdr:rowOff>
    </xdr:from>
    <xdr:to>
      <xdr:col>9</xdr:col>
      <xdr:colOff>114300</xdr:colOff>
      <xdr:row>995</xdr:row>
      <xdr:rowOff>95250</xdr:rowOff>
    </xdr:to>
    <xdr:sp macro="" textlink="">
      <xdr:nvSpPr>
        <xdr:cNvPr id="635" name="TextBox 634"/>
        <xdr:cNvSpPr txBox="1"/>
      </xdr:nvSpPr>
      <xdr:spPr>
        <a:xfrm>
          <a:off x="457200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990</xdr:row>
      <xdr:rowOff>0</xdr:rowOff>
    </xdr:from>
    <xdr:to>
      <xdr:col>5</xdr:col>
      <xdr:colOff>304800</xdr:colOff>
      <xdr:row>996</xdr:row>
      <xdr:rowOff>95250</xdr:rowOff>
    </xdr:to>
    <xdr:sp macro="" textlink="">
      <xdr:nvSpPr>
        <xdr:cNvPr id="636" name="TextBox 635"/>
        <xdr:cNvSpPr txBox="1"/>
      </xdr:nvSpPr>
      <xdr:spPr>
        <a:xfrm>
          <a:off x="2133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990</xdr:row>
      <xdr:rowOff>0</xdr:rowOff>
    </xdr:from>
    <xdr:to>
      <xdr:col>12</xdr:col>
      <xdr:colOff>304800</xdr:colOff>
      <xdr:row>996</xdr:row>
      <xdr:rowOff>95250</xdr:rowOff>
    </xdr:to>
    <xdr:sp macro="" textlink="">
      <xdr:nvSpPr>
        <xdr:cNvPr id="637" name="TextBox 636"/>
        <xdr:cNvSpPr txBox="1"/>
      </xdr:nvSpPr>
      <xdr:spPr>
        <a:xfrm>
          <a:off x="6705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1020</xdr:row>
      <xdr:rowOff>0</xdr:rowOff>
    </xdr:from>
    <xdr:to>
      <xdr:col>2</xdr:col>
      <xdr:colOff>114300</xdr:colOff>
      <xdr:row>1025</xdr:row>
      <xdr:rowOff>95250</xdr:rowOff>
    </xdr:to>
    <xdr:sp macro="" textlink="">
      <xdr:nvSpPr>
        <xdr:cNvPr id="638" name="TextBox 637"/>
        <xdr:cNvSpPr txBox="1"/>
      </xdr:nvSpPr>
      <xdr:spPr>
        <a:xfrm>
          <a:off x="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1020</xdr:row>
      <xdr:rowOff>0</xdr:rowOff>
    </xdr:from>
    <xdr:to>
      <xdr:col>9</xdr:col>
      <xdr:colOff>114300</xdr:colOff>
      <xdr:row>1025</xdr:row>
      <xdr:rowOff>95250</xdr:rowOff>
    </xdr:to>
    <xdr:sp macro="" textlink="">
      <xdr:nvSpPr>
        <xdr:cNvPr id="639" name="TextBox 638"/>
        <xdr:cNvSpPr txBox="1"/>
      </xdr:nvSpPr>
      <xdr:spPr>
        <a:xfrm>
          <a:off x="457200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5</xdr:col>
      <xdr:colOff>304800</xdr:colOff>
      <xdr:row>1026</xdr:row>
      <xdr:rowOff>95250</xdr:rowOff>
    </xdr:to>
    <xdr:sp macro="" textlink="">
      <xdr:nvSpPr>
        <xdr:cNvPr id="640" name="TextBox 639"/>
        <xdr:cNvSpPr txBox="1"/>
      </xdr:nvSpPr>
      <xdr:spPr>
        <a:xfrm>
          <a:off x="2133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1020</xdr:row>
      <xdr:rowOff>0</xdr:rowOff>
    </xdr:from>
    <xdr:to>
      <xdr:col>12</xdr:col>
      <xdr:colOff>304800</xdr:colOff>
      <xdr:row>1026</xdr:row>
      <xdr:rowOff>95250</xdr:rowOff>
    </xdr:to>
    <xdr:sp macro="" textlink="">
      <xdr:nvSpPr>
        <xdr:cNvPr id="641" name="TextBox 640"/>
        <xdr:cNvSpPr txBox="1"/>
      </xdr:nvSpPr>
      <xdr:spPr>
        <a:xfrm>
          <a:off x="6705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1050</xdr:row>
      <xdr:rowOff>0</xdr:rowOff>
    </xdr:from>
    <xdr:to>
      <xdr:col>2</xdr:col>
      <xdr:colOff>114300</xdr:colOff>
      <xdr:row>1055</xdr:row>
      <xdr:rowOff>95250</xdr:rowOff>
    </xdr:to>
    <xdr:sp macro="" textlink="">
      <xdr:nvSpPr>
        <xdr:cNvPr id="642" name="TextBox 641"/>
        <xdr:cNvSpPr txBox="1"/>
      </xdr:nvSpPr>
      <xdr:spPr>
        <a:xfrm>
          <a:off x="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1050</xdr:row>
      <xdr:rowOff>0</xdr:rowOff>
    </xdr:from>
    <xdr:to>
      <xdr:col>9</xdr:col>
      <xdr:colOff>114300</xdr:colOff>
      <xdr:row>1055</xdr:row>
      <xdr:rowOff>95250</xdr:rowOff>
    </xdr:to>
    <xdr:sp macro="" textlink="">
      <xdr:nvSpPr>
        <xdr:cNvPr id="643" name="TextBox 642"/>
        <xdr:cNvSpPr txBox="1"/>
      </xdr:nvSpPr>
      <xdr:spPr>
        <a:xfrm>
          <a:off x="457200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1050</xdr:row>
      <xdr:rowOff>0</xdr:rowOff>
    </xdr:from>
    <xdr:to>
      <xdr:col>5</xdr:col>
      <xdr:colOff>304800</xdr:colOff>
      <xdr:row>1056</xdr:row>
      <xdr:rowOff>95250</xdr:rowOff>
    </xdr:to>
    <xdr:sp macro="" textlink="">
      <xdr:nvSpPr>
        <xdr:cNvPr id="644" name="TextBox 643"/>
        <xdr:cNvSpPr txBox="1"/>
      </xdr:nvSpPr>
      <xdr:spPr>
        <a:xfrm>
          <a:off x="2133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1050</xdr:row>
      <xdr:rowOff>0</xdr:rowOff>
    </xdr:from>
    <xdr:to>
      <xdr:col>12</xdr:col>
      <xdr:colOff>304800</xdr:colOff>
      <xdr:row>1056</xdr:row>
      <xdr:rowOff>95250</xdr:rowOff>
    </xdr:to>
    <xdr:sp macro="" textlink="">
      <xdr:nvSpPr>
        <xdr:cNvPr id="645" name="TextBox 644"/>
        <xdr:cNvSpPr txBox="1"/>
      </xdr:nvSpPr>
      <xdr:spPr>
        <a:xfrm>
          <a:off x="6705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1080</xdr:row>
      <xdr:rowOff>0</xdr:rowOff>
    </xdr:from>
    <xdr:to>
      <xdr:col>2</xdr:col>
      <xdr:colOff>114300</xdr:colOff>
      <xdr:row>1085</xdr:row>
      <xdr:rowOff>95250</xdr:rowOff>
    </xdr:to>
    <xdr:sp macro="" textlink="">
      <xdr:nvSpPr>
        <xdr:cNvPr id="646" name="TextBox 645"/>
        <xdr:cNvSpPr txBox="1"/>
      </xdr:nvSpPr>
      <xdr:spPr>
        <a:xfrm>
          <a:off x="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1080</xdr:row>
      <xdr:rowOff>0</xdr:rowOff>
    </xdr:from>
    <xdr:to>
      <xdr:col>9</xdr:col>
      <xdr:colOff>114300</xdr:colOff>
      <xdr:row>1085</xdr:row>
      <xdr:rowOff>95250</xdr:rowOff>
    </xdr:to>
    <xdr:sp macro="" textlink="">
      <xdr:nvSpPr>
        <xdr:cNvPr id="647" name="TextBox 646"/>
        <xdr:cNvSpPr txBox="1"/>
      </xdr:nvSpPr>
      <xdr:spPr>
        <a:xfrm>
          <a:off x="457200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1080</xdr:row>
      <xdr:rowOff>0</xdr:rowOff>
    </xdr:from>
    <xdr:to>
      <xdr:col>5</xdr:col>
      <xdr:colOff>304800</xdr:colOff>
      <xdr:row>1086</xdr:row>
      <xdr:rowOff>95250</xdr:rowOff>
    </xdr:to>
    <xdr:sp macro="" textlink="">
      <xdr:nvSpPr>
        <xdr:cNvPr id="648" name="TextBox 647"/>
        <xdr:cNvSpPr txBox="1"/>
      </xdr:nvSpPr>
      <xdr:spPr>
        <a:xfrm>
          <a:off x="2133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1080</xdr:row>
      <xdr:rowOff>0</xdr:rowOff>
    </xdr:from>
    <xdr:to>
      <xdr:col>12</xdr:col>
      <xdr:colOff>304800</xdr:colOff>
      <xdr:row>1086</xdr:row>
      <xdr:rowOff>95250</xdr:rowOff>
    </xdr:to>
    <xdr:sp macro="" textlink="">
      <xdr:nvSpPr>
        <xdr:cNvPr id="649" name="TextBox 648"/>
        <xdr:cNvSpPr txBox="1"/>
      </xdr:nvSpPr>
      <xdr:spPr>
        <a:xfrm>
          <a:off x="6705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1110</xdr:row>
      <xdr:rowOff>0</xdr:rowOff>
    </xdr:from>
    <xdr:to>
      <xdr:col>2</xdr:col>
      <xdr:colOff>114300</xdr:colOff>
      <xdr:row>1115</xdr:row>
      <xdr:rowOff>95250</xdr:rowOff>
    </xdr:to>
    <xdr:sp macro="" textlink="">
      <xdr:nvSpPr>
        <xdr:cNvPr id="650" name="TextBox 649"/>
        <xdr:cNvSpPr txBox="1"/>
      </xdr:nvSpPr>
      <xdr:spPr>
        <a:xfrm>
          <a:off x="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1110</xdr:row>
      <xdr:rowOff>0</xdr:rowOff>
    </xdr:from>
    <xdr:to>
      <xdr:col>9</xdr:col>
      <xdr:colOff>114300</xdr:colOff>
      <xdr:row>1115</xdr:row>
      <xdr:rowOff>95250</xdr:rowOff>
    </xdr:to>
    <xdr:sp macro="" textlink="">
      <xdr:nvSpPr>
        <xdr:cNvPr id="651" name="TextBox 650"/>
        <xdr:cNvSpPr txBox="1"/>
      </xdr:nvSpPr>
      <xdr:spPr>
        <a:xfrm>
          <a:off x="457200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1110</xdr:row>
      <xdr:rowOff>0</xdr:rowOff>
    </xdr:from>
    <xdr:to>
      <xdr:col>5</xdr:col>
      <xdr:colOff>304800</xdr:colOff>
      <xdr:row>1116</xdr:row>
      <xdr:rowOff>95250</xdr:rowOff>
    </xdr:to>
    <xdr:sp macro="" textlink="">
      <xdr:nvSpPr>
        <xdr:cNvPr id="652" name="TextBox 651"/>
        <xdr:cNvSpPr txBox="1"/>
      </xdr:nvSpPr>
      <xdr:spPr>
        <a:xfrm>
          <a:off x="2133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1110</xdr:row>
      <xdr:rowOff>0</xdr:rowOff>
    </xdr:from>
    <xdr:to>
      <xdr:col>12</xdr:col>
      <xdr:colOff>304800</xdr:colOff>
      <xdr:row>1116</xdr:row>
      <xdr:rowOff>95250</xdr:rowOff>
    </xdr:to>
    <xdr:sp macro="" textlink="">
      <xdr:nvSpPr>
        <xdr:cNvPr id="653" name="TextBox 652"/>
        <xdr:cNvSpPr txBox="1"/>
      </xdr:nvSpPr>
      <xdr:spPr>
        <a:xfrm>
          <a:off x="6705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1140</xdr:row>
      <xdr:rowOff>0</xdr:rowOff>
    </xdr:from>
    <xdr:to>
      <xdr:col>2</xdr:col>
      <xdr:colOff>114300</xdr:colOff>
      <xdr:row>1145</xdr:row>
      <xdr:rowOff>95250</xdr:rowOff>
    </xdr:to>
    <xdr:sp macro="" textlink="">
      <xdr:nvSpPr>
        <xdr:cNvPr id="654" name="TextBox 653"/>
        <xdr:cNvSpPr txBox="1"/>
      </xdr:nvSpPr>
      <xdr:spPr>
        <a:xfrm>
          <a:off x="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1140</xdr:row>
      <xdr:rowOff>0</xdr:rowOff>
    </xdr:from>
    <xdr:to>
      <xdr:col>9</xdr:col>
      <xdr:colOff>114300</xdr:colOff>
      <xdr:row>1145</xdr:row>
      <xdr:rowOff>95250</xdr:rowOff>
    </xdr:to>
    <xdr:sp macro="" textlink="">
      <xdr:nvSpPr>
        <xdr:cNvPr id="655" name="TextBox 654"/>
        <xdr:cNvSpPr txBox="1"/>
      </xdr:nvSpPr>
      <xdr:spPr>
        <a:xfrm>
          <a:off x="457200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1140</xdr:row>
      <xdr:rowOff>0</xdr:rowOff>
    </xdr:from>
    <xdr:to>
      <xdr:col>5</xdr:col>
      <xdr:colOff>304800</xdr:colOff>
      <xdr:row>1146</xdr:row>
      <xdr:rowOff>95250</xdr:rowOff>
    </xdr:to>
    <xdr:sp macro="" textlink="">
      <xdr:nvSpPr>
        <xdr:cNvPr id="656" name="TextBox 655"/>
        <xdr:cNvSpPr txBox="1"/>
      </xdr:nvSpPr>
      <xdr:spPr>
        <a:xfrm>
          <a:off x="2133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1140</xdr:row>
      <xdr:rowOff>0</xdr:rowOff>
    </xdr:from>
    <xdr:to>
      <xdr:col>12</xdr:col>
      <xdr:colOff>304800</xdr:colOff>
      <xdr:row>1146</xdr:row>
      <xdr:rowOff>95250</xdr:rowOff>
    </xdr:to>
    <xdr:sp macro="" textlink="">
      <xdr:nvSpPr>
        <xdr:cNvPr id="657" name="TextBox 656"/>
        <xdr:cNvSpPr txBox="1"/>
      </xdr:nvSpPr>
      <xdr:spPr>
        <a:xfrm>
          <a:off x="6705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1170</xdr:row>
      <xdr:rowOff>0</xdr:rowOff>
    </xdr:from>
    <xdr:to>
      <xdr:col>2</xdr:col>
      <xdr:colOff>114300</xdr:colOff>
      <xdr:row>1175</xdr:row>
      <xdr:rowOff>95250</xdr:rowOff>
    </xdr:to>
    <xdr:sp macro="" textlink="">
      <xdr:nvSpPr>
        <xdr:cNvPr id="658" name="TextBox 657"/>
        <xdr:cNvSpPr txBox="1"/>
      </xdr:nvSpPr>
      <xdr:spPr>
        <a:xfrm>
          <a:off x="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1170</xdr:row>
      <xdr:rowOff>0</xdr:rowOff>
    </xdr:from>
    <xdr:to>
      <xdr:col>9</xdr:col>
      <xdr:colOff>114300</xdr:colOff>
      <xdr:row>1175</xdr:row>
      <xdr:rowOff>95250</xdr:rowOff>
    </xdr:to>
    <xdr:sp macro="" textlink="">
      <xdr:nvSpPr>
        <xdr:cNvPr id="659" name="TextBox 658"/>
        <xdr:cNvSpPr txBox="1"/>
      </xdr:nvSpPr>
      <xdr:spPr>
        <a:xfrm>
          <a:off x="457200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1170</xdr:row>
      <xdr:rowOff>0</xdr:rowOff>
    </xdr:from>
    <xdr:to>
      <xdr:col>5</xdr:col>
      <xdr:colOff>304800</xdr:colOff>
      <xdr:row>1176</xdr:row>
      <xdr:rowOff>95250</xdr:rowOff>
    </xdr:to>
    <xdr:sp macro="" textlink="">
      <xdr:nvSpPr>
        <xdr:cNvPr id="660" name="TextBox 659"/>
        <xdr:cNvSpPr txBox="1"/>
      </xdr:nvSpPr>
      <xdr:spPr>
        <a:xfrm>
          <a:off x="2133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1170</xdr:row>
      <xdr:rowOff>0</xdr:rowOff>
    </xdr:from>
    <xdr:to>
      <xdr:col>12</xdr:col>
      <xdr:colOff>304800</xdr:colOff>
      <xdr:row>1176</xdr:row>
      <xdr:rowOff>95250</xdr:rowOff>
    </xdr:to>
    <xdr:sp macro="" textlink="">
      <xdr:nvSpPr>
        <xdr:cNvPr id="661" name="TextBox 660"/>
        <xdr:cNvSpPr txBox="1"/>
      </xdr:nvSpPr>
      <xdr:spPr>
        <a:xfrm>
          <a:off x="6705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1200</xdr:row>
      <xdr:rowOff>0</xdr:rowOff>
    </xdr:from>
    <xdr:to>
      <xdr:col>2</xdr:col>
      <xdr:colOff>114300</xdr:colOff>
      <xdr:row>1205</xdr:row>
      <xdr:rowOff>95250</xdr:rowOff>
    </xdr:to>
    <xdr:sp macro="" textlink="">
      <xdr:nvSpPr>
        <xdr:cNvPr id="662" name="TextBox 661"/>
        <xdr:cNvSpPr txBox="1"/>
      </xdr:nvSpPr>
      <xdr:spPr>
        <a:xfrm>
          <a:off x="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1200</xdr:row>
      <xdr:rowOff>0</xdr:rowOff>
    </xdr:from>
    <xdr:to>
      <xdr:col>9</xdr:col>
      <xdr:colOff>114300</xdr:colOff>
      <xdr:row>1205</xdr:row>
      <xdr:rowOff>95250</xdr:rowOff>
    </xdr:to>
    <xdr:sp macro="" textlink="">
      <xdr:nvSpPr>
        <xdr:cNvPr id="663" name="TextBox 662"/>
        <xdr:cNvSpPr txBox="1"/>
      </xdr:nvSpPr>
      <xdr:spPr>
        <a:xfrm>
          <a:off x="457200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1200</xdr:row>
      <xdr:rowOff>0</xdr:rowOff>
    </xdr:from>
    <xdr:to>
      <xdr:col>5</xdr:col>
      <xdr:colOff>304800</xdr:colOff>
      <xdr:row>1206</xdr:row>
      <xdr:rowOff>95250</xdr:rowOff>
    </xdr:to>
    <xdr:sp macro="" textlink="">
      <xdr:nvSpPr>
        <xdr:cNvPr id="664" name="TextBox 663"/>
        <xdr:cNvSpPr txBox="1"/>
      </xdr:nvSpPr>
      <xdr:spPr>
        <a:xfrm>
          <a:off x="2133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1200</xdr:row>
      <xdr:rowOff>0</xdr:rowOff>
    </xdr:from>
    <xdr:to>
      <xdr:col>12</xdr:col>
      <xdr:colOff>304800</xdr:colOff>
      <xdr:row>1206</xdr:row>
      <xdr:rowOff>95250</xdr:rowOff>
    </xdr:to>
    <xdr:sp macro="" textlink="">
      <xdr:nvSpPr>
        <xdr:cNvPr id="665" name="TextBox 664"/>
        <xdr:cNvSpPr txBox="1"/>
      </xdr:nvSpPr>
      <xdr:spPr>
        <a:xfrm>
          <a:off x="6705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1230</xdr:row>
      <xdr:rowOff>0</xdr:rowOff>
    </xdr:from>
    <xdr:to>
      <xdr:col>2</xdr:col>
      <xdr:colOff>114300</xdr:colOff>
      <xdr:row>1235</xdr:row>
      <xdr:rowOff>95250</xdr:rowOff>
    </xdr:to>
    <xdr:sp macro="" textlink="">
      <xdr:nvSpPr>
        <xdr:cNvPr id="666" name="TextBox 665"/>
        <xdr:cNvSpPr txBox="1"/>
      </xdr:nvSpPr>
      <xdr:spPr>
        <a:xfrm>
          <a:off x="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1230</xdr:row>
      <xdr:rowOff>0</xdr:rowOff>
    </xdr:from>
    <xdr:to>
      <xdr:col>9</xdr:col>
      <xdr:colOff>114300</xdr:colOff>
      <xdr:row>1235</xdr:row>
      <xdr:rowOff>95250</xdr:rowOff>
    </xdr:to>
    <xdr:sp macro="" textlink="">
      <xdr:nvSpPr>
        <xdr:cNvPr id="667" name="TextBox 666"/>
        <xdr:cNvSpPr txBox="1"/>
      </xdr:nvSpPr>
      <xdr:spPr>
        <a:xfrm>
          <a:off x="457200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1230</xdr:row>
      <xdr:rowOff>0</xdr:rowOff>
    </xdr:from>
    <xdr:to>
      <xdr:col>5</xdr:col>
      <xdr:colOff>304800</xdr:colOff>
      <xdr:row>1236</xdr:row>
      <xdr:rowOff>95250</xdr:rowOff>
    </xdr:to>
    <xdr:sp macro="" textlink="">
      <xdr:nvSpPr>
        <xdr:cNvPr id="668" name="TextBox 667"/>
        <xdr:cNvSpPr txBox="1"/>
      </xdr:nvSpPr>
      <xdr:spPr>
        <a:xfrm>
          <a:off x="2133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1230</xdr:row>
      <xdr:rowOff>0</xdr:rowOff>
    </xdr:from>
    <xdr:to>
      <xdr:col>12</xdr:col>
      <xdr:colOff>304800</xdr:colOff>
      <xdr:row>1236</xdr:row>
      <xdr:rowOff>95250</xdr:rowOff>
    </xdr:to>
    <xdr:sp macro="" textlink="">
      <xdr:nvSpPr>
        <xdr:cNvPr id="669" name="TextBox 668"/>
        <xdr:cNvSpPr txBox="1"/>
      </xdr:nvSpPr>
      <xdr:spPr>
        <a:xfrm>
          <a:off x="6705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1260</xdr:row>
      <xdr:rowOff>0</xdr:rowOff>
    </xdr:from>
    <xdr:to>
      <xdr:col>2</xdr:col>
      <xdr:colOff>114300</xdr:colOff>
      <xdr:row>1265</xdr:row>
      <xdr:rowOff>95250</xdr:rowOff>
    </xdr:to>
    <xdr:sp macro="" textlink="">
      <xdr:nvSpPr>
        <xdr:cNvPr id="670" name="TextBox 669"/>
        <xdr:cNvSpPr txBox="1"/>
      </xdr:nvSpPr>
      <xdr:spPr>
        <a:xfrm>
          <a:off x="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1260</xdr:row>
      <xdr:rowOff>0</xdr:rowOff>
    </xdr:from>
    <xdr:to>
      <xdr:col>9</xdr:col>
      <xdr:colOff>114300</xdr:colOff>
      <xdr:row>1265</xdr:row>
      <xdr:rowOff>95250</xdr:rowOff>
    </xdr:to>
    <xdr:sp macro="" textlink="">
      <xdr:nvSpPr>
        <xdr:cNvPr id="671" name="TextBox 670"/>
        <xdr:cNvSpPr txBox="1"/>
      </xdr:nvSpPr>
      <xdr:spPr>
        <a:xfrm>
          <a:off x="457200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1260</xdr:row>
      <xdr:rowOff>0</xdr:rowOff>
    </xdr:from>
    <xdr:to>
      <xdr:col>5</xdr:col>
      <xdr:colOff>304800</xdr:colOff>
      <xdr:row>1266</xdr:row>
      <xdr:rowOff>95250</xdr:rowOff>
    </xdr:to>
    <xdr:sp macro="" textlink="">
      <xdr:nvSpPr>
        <xdr:cNvPr id="672" name="TextBox 671"/>
        <xdr:cNvSpPr txBox="1"/>
      </xdr:nvSpPr>
      <xdr:spPr>
        <a:xfrm>
          <a:off x="2133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1260</xdr:row>
      <xdr:rowOff>0</xdr:rowOff>
    </xdr:from>
    <xdr:to>
      <xdr:col>12</xdr:col>
      <xdr:colOff>304800</xdr:colOff>
      <xdr:row>1266</xdr:row>
      <xdr:rowOff>95250</xdr:rowOff>
    </xdr:to>
    <xdr:sp macro="" textlink="">
      <xdr:nvSpPr>
        <xdr:cNvPr id="673" name="TextBox 672"/>
        <xdr:cNvSpPr txBox="1"/>
      </xdr:nvSpPr>
      <xdr:spPr>
        <a:xfrm>
          <a:off x="6705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1290</xdr:row>
      <xdr:rowOff>0</xdr:rowOff>
    </xdr:from>
    <xdr:to>
      <xdr:col>2</xdr:col>
      <xdr:colOff>114300</xdr:colOff>
      <xdr:row>1295</xdr:row>
      <xdr:rowOff>95250</xdr:rowOff>
    </xdr:to>
    <xdr:sp macro="" textlink="">
      <xdr:nvSpPr>
        <xdr:cNvPr id="674" name="TextBox 673"/>
        <xdr:cNvSpPr txBox="1"/>
      </xdr:nvSpPr>
      <xdr:spPr>
        <a:xfrm>
          <a:off x="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1290</xdr:row>
      <xdr:rowOff>0</xdr:rowOff>
    </xdr:from>
    <xdr:to>
      <xdr:col>9</xdr:col>
      <xdr:colOff>114300</xdr:colOff>
      <xdr:row>1295</xdr:row>
      <xdr:rowOff>95250</xdr:rowOff>
    </xdr:to>
    <xdr:sp macro="" textlink="">
      <xdr:nvSpPr>
        <xdr:cNvPr id="675" name="TextBox 674"/>
        <xdr:cNvSpPr txBox="1"/>
      </xdr:nvSpPr>
      <xdr:spPr>
        <a:xfrm>
          <a:off x="457200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1290</xdr:row>
      <xdr:rowOff>0</xdr:rowOff>
    </xdr:from>
    <xdr:to>
      <xdr:col>5</xdr:col>
      <xdr:colOff>304800</xdr:colOff>
      <xdr:row>1296</xdr:row>
      <xdr:rowOff>95250</xdr:rowOff>
    </xdr:to>
    <xdr:sp macro="" textlink="">
      <xdr:nvSpPr>
        <xdr:cNvPr id="676" name="TextBox 675"/>
        <xdr:cNvSpPr txBox="1"/>
      </xdr:nvSpPr>
      <xdr:spPr>
        <a:xfrm>
          <a:off x="2133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1290</xdr:row>
      <xdr:rowOff>0</xdr:rowOff>
    </xdr:from>
    <xdr:to>
      <xdr:col>12</xdr:col>
      <xdr:colOff>304800</xdr:colOff>
      <xdr:row>1296</xdr:row>
      <xdr:rowOff>95250</xdr:rowOff>
    </xdr:to>
    <xdr:sp macro="" textlink="">
      <xdr:nvSpPr>
        <xdr:cNvPr id="677" name="TextBox 676"/>
        <xdr:cNvSpPr txBox="1"/>
      </xdr:nvSpPr>
      <xdr:spPr>
        <a:xfrm>
          <a:off x="6705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1320</xdr:row>
      <xdr:rowOff>0</xdr:rowOff>
    </xdr:from>
    <xdr:to>
      <xdr:col>2</xdr:col>
      <xdr:colOff>114300</xdr:colOff>
      <xdr:row>1325</xdr:row>
      <xdr:rowOff>95250</xdr:rowOff>
    </xdr:to>
    <xdr:sp macro="" textlink="">
      <xdr:nvSpPr>
        <xdr:cNvPr id="678" name="TextBox 677"/>
        <xdr:cNvSpPr txBox="1"/>
      </xdr:nvSpPr>
      <xdr:spPr>
        <a:xfrm>
          <a:off x="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1320</xdr:row>
      <xdr:rowOff>0</xdr:rowOff>
    </xdr:from>
    <xdr:to>
      <xdr:col>9</xdr:col>
      <xdr:colOff>114300</xdr:colOff>
      <xdr:row>1325</xdr:row>
      <xdr:rowOff>95250</xdr:rowOff>
    </xdr:to>
    <xdr:sp macro="" textlink="">
      <xdr:nvSpPr>
        <xdr:cNvPr id="679" name="TextBox 678"/>
        <xdr:cNvSpPr txBox="1"/>
      </xdr:nvSpPr>
      <xdr:spPr>
        <a:xfrm>
          <a:off x="457200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1320</xdr:row>
      <xdr:rowOff>0</xdr:rowOff>
    </xdr:from>
    <xdr:to>
      <xdr:col>5</xdr:col>
      <xdr:colOff>304800</xdr:colOff>
      <xdr:row>1326</xdr:row>
      <xdr:rowOff>95250</xdr:rowOff>
    </xdr:to>
    <xdr:sp macro="" textlink="">
      <xdr:nvSpPr>
        <xdr:cNvPr id="680" name="TextBox 679"/>
        <xdr:cNvSpPr txBox="1"/>
      </xdr:nvSpPr>
      <xdr:spPr>
        <a:xfrm>
          <a:off x="2133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1320</xdr:row>
      <xdr:rowOff>0</xdr:rowOff>
    </xdr:from>
    <xdr:to>
      <xdr:col>12</xdr:col>
      <xdr:colOff>304800</xdr:colOff>
      <xdr:row>1326</xdr:row>
      <xdr:rowOff>95250</xdr:rowOff>
    </xdr:to>
    <xdr:sp macro="" textlink="">
      <xdr:nvSpPr>
        <xdr:cNvPr id="681" name="TextBox 680"/>
        <xdr:cNvSpPr txBox="1"/>
      </xdr:nvSpPr>
      <xdr:spPr>
        <a:xfrm>
          <a:off x="6705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1350</xdr:row>
      <xdr:rowOff>0</xdr:rowOff>
    </xdr:from>
    <xdr:to>
      <xdr:col>2</xdr:col>
      <xdr:colOff>114300</xdr:colOff>
      <xdr:row>1355</xdr:row>
      <xdr:rowOff>95250</xdr:rowOff>
    </xdr:to>
    <xdr:sp macro="" textlink="">
      <xdr:nvSpPr>
        <xdr:cNvPr id="682" name="TextBox 681"/>
        <xdr:cNvSpPr txBox="1"/>
      </xdr:nvSpPr>
      <xdr:spPr>
        <a:xfrm>
          <a:off x="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1350</xdr:row>
      <xdr:rowOff>0</xdr:rowOff>
    </xdr:from>
    <xdr:to>
      <xdr:col>9</xdr:col>
      <xdr:colOff>114300</xdr:colOff>
      <xdr:row>1355</xdr:row>
      <xdr:rowOff>95250</xdr:rowOff>
    </xdr:to>
    <xdr:sp macro="" textlink="">
      <xdr:nvSpPr>
        <xdr:cNvPr id="683" name="TextBox 682"/>
        <xdr:cNvSpPr txBox="1"/>
      </xdr:nvSpPr>
      <xdr:spPr>
        <a:xfrm>
          <a:off x="457200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1350</xdr:row>
      <xdr:rowOff>0</xdr:rowOff>
    </xdr:from>
    <xdr:to>
      <xdr:col>5</xdr:col>
      <xdr:colOff>304800</xdr:colOff>
      <xdr:row>1356</xdr:row>
      <xdr:rowOff>95250</xdr:rowOff>
    </xdr:to>
    <xdr:sp macro="" textlink="">
      <xdr:nvSpPr>
        <xdr:cNvPr id="684" name="TextBox 683"/>
        <xdr:cNvSpPr txBox="1"/>
      </xdr:nvSpPr>
      <xdr:spPr>
        <a:xfrm>
          <a:off x="2133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1350</xdr:row>
      <xdr:rowOff>0</xdr:rowOff>
    </xdr:from>
    <xdr:to>
      <xdr:col>12</xdr:col>
      <xdr:colOff>304800</xdr:colOff>
      <xdr:row>1356</xdr:row>
      <xdr:rowOff>95250</xdr:rowOff>
    </xdr:to>
    <xdr:sp macro="" textlink="">
      <xdr:nvSpPr>
        <xdr:cNvPr id="685" name="TextBox 684"/>
        <xdr:cNvSpPr txBox="1"/>
      </xdr:nvSpPr>
      <xdr:spPr>
        <a:xfrm>
          <a:off x="6705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1380</xdr:row>
      <xdr:rowOff>0</xdr:rowOff>
    </xdr:from>
    <xdr:to>
      <xdr:col>2</xdr:col>
      <xdr:colOff>114300</xdr:colOff>
      <xdr:row>1385</xdr:row>
      <xdr:rowOff>95250</xdr:rowOff>
    </xdr:to>
    <xdr:sp macro="" textlink="">
      <xdr:nvSpPr>
        <xdr:cNvPr id="686" name="TextBox 685"/>
        <xdr:cNvSpPr txBox="1"/>
      </xdr:nvSpPr>
      <xdr:spPr>
        <a:xfrm>
          <a:off x="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1380</xdr:row>
      <xdr:rowOff>0</xdr:rowOff>
    </xdr:from>
    <xdr:to>
      <xdr:col>9</xdr:col>
      <xdr:colOff>114300</xdr:colOff>
      <xdr:row>1385</xdr:row>
      <xdr:rowOff>95250</xdr:rowOff>
    </xdr:to>
    <xdr:sp macro="" textlink="">
      <xdr:nvSpPr>
        <xdr:cNvPr id="687" name="TextBox 686"/>
        <xdr:cNvSpPr txBox="1"/>
      </xdr:nvSpPr>
      <xdr:spPr>
        <a:xfrm>
          <a:off x="457200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1380</xdr:row>
      <xdr:rowOff>0</xdr:rowOff>
    </xdr:from>
    <xdr:to>
      <xdr:col>5</xdr:col>
      <xdr:colOff>304800</xdr:colOff>
      <xdr:row>1386</xdr:row>
      <xdr:rowOff>95250</xdr:rowOff>
    </xdr:to>
    <xdr:sp macro="" textlink="">
      <xdr:nvSpPr>
        <xdr:cNvPr id="688" name="TextBox 687"/>
        <xdr:cNvSpPr txBox="1"/>
      </xdr:nvSpPr>
      <xdr:spPr>
        <a:xfrm>
          <a:off x="2133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1380</xdr:row>
      <xdr:rowOff>0</xdr:rowOff>
    </xdr:from>
    <xdr:to>
      <xdr:col>12</xdr:col>
      <xdr:colOff>304800</xdr:colOff>
      <xdr:row>1386</xdr:row>
      <xdr:rowOff>95250</xdr:rowOff>
    </xdr:to>
    <xdr:sp macro="" textlink="">
      <xdr:nvSpPr>
        <xdr:cNvPr id="689" name="TextBox 688"/>
        <xdr:cNvSpPr txBox="1"/>
      </xdr:nvSpPr>
      <xdr:spPr>
        <a:xfrm>
          <a:off x="6705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1410</xdr:row>
      <xdr:rowOff>0</xdr:rowOff>
    </xdr:from>
    <xdr:to>
      <xdr:col>2</xdr:col>
      <xdr:colOff>114300</xdr:colOff>
      <xdr:row>1415</xdr:row>
      <xdr:rowOff>95250</xdr:rowOff>
    </xdr:to>
    <xdr:sp macro="" textlink="">
      <xdr:nvSpPr>
        <xdr:cNvPr id="690" name="TextBox 689"/>
        <xdr:cNvSpPr txBox="1"/>
      </xdr:nvSpPr>
      <xdr:spPr>
        <a:xfrm>
          <a:off x="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1410</xdr:row>
      <xdr:rowOff>0</xdr:rowOff>
    </xdr:from>
    <xdr:to>
      <xdr:col>9</xdr:col>
      <xdr:colOff>114300</xdr:colOff>
      <xdr:row>1415</xdr:row>
      <xdr:rowOff>95250</xdr:rowOff>
    </xdr:to>
    <xdr:sp macro="" textlink="">
      <xdr:nvSpPr>
        <xdr:cNvPr id="691" name="TextBox 690"/>
        <xdr:cNvSpPr txBox="1"/>
      </xdr:nvSpPr>
      <xdr:spPr>
        <a:xfrm>
          <a:off x="457200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1410</xdr:row>
      <xdr:rowOff>0</xdr:rowOff>
    </xdr:from>
    <xdr:to>
      <xdr:col>5</xdr:col>
      <xdr:colOff>304800</xdr:colOff>
      <xdr:row>1416</xdr:row>
      <xdr:rowOff>95250</xdr:rowOff>
    </xdr:to>
    <xdr:sp macro="" textlink="">
      <xdr:nvSpPr>
        <xdr:cNvPr id="692" name="TextBox 691"/>
        <xdr:cNvSpPr txBox="1"/>
      </xdr:nvSpPr>
      <xdr:spPr>
        <a:xfrm>
          <a:off x="2133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1410</xdr:row>
      <xdr:rowOff>0</xdr:rowOff>
    </xdr:from>
    <xdr:to>
      <xdr:col>12</xdr:col>
      <xdr:colOff>304800</xdr:colOff>
      <xdr:row>1416</xdr:row>
      <xdr:rowOff>95250</xdr:rowOff>
    </xdr:to>
    <xdr:sp macro="" textlink="">
      <xdr:nvSpPr>
        <xdr:cNvPr id="693" name="TextBox 692"/>
        <xdr:cNvSpPr txBox="1"/>
      </xdr:nvSpPr>
      <xdr:spPr>
        <a:xfrm>
          <a:off x="6705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1440</xdr:row>
      <xdr:rowOff>0</xdr:rowOff>
    </xdr:from>
    <xdr:to>
      <xdr:col>2</xdr:col>
      <xdr:colOff>114300</xdr:colOff>
      <xdr:row>1445</xdr:row>
      <xdr:rowOff>95250</xdr:rowOff>
    </xdr:to>
    <xdr:sp macro="" textlink="">
      <xdr:nvSpPr>
        <xdr:cNvPr id="694" name="TextBox 693"/>
        <xdr:cNvSpPr txBox="1"/>
      </xdr:nvSpPr>
      <xdr:spPr>
        <a:xfrm>
          <a:off x="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1440</xdr:row>
      <xdr:rowOff>0</xdr:rowOff>
    </xdr:from>
    <xdr:to>
      <xdr:col>9</xdr:col>
      <xdr:colOff>114300</xdr:colOff>
      <xdr:row>1445</xdr:row>
      <xdr:rowOff>95250</xdr:rowOff>
    </xdr:to>
    <xdr:sp macro="" textlink="">
      <xdr:nvSpPr>
        <xdr:cNvPr id="695" name="TextBox 694"/>
        <xdr:cNvSpPr txBox="1"/>
      </xdr:nvSpPr>
      <xdr:spPr>
        <a:xfrm>
          <a:off x="457200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1440</xdr:row>
      <xdr:rowOff>0</xdr:rowOff>
    </xdr:from>
    <xdr:to>
      <xdr:col>5</xdr:col>
      <xdr:colOff>304800</xdr:colOff>
      <xdr:row>1446</xdr:row>
      <xdr:rowOff>95250</xdr:rowOff>
    </xdr:to>
    <xdr:sp macro="" textlink="">
      <xdr:nvSpPr>
        <xdr:cNvPr id="696" name="TextBox 695"/>
        <xdr:cNvSpPr txBox="1"/>
      </xdr:nvSpPr>
      <xdr:spPr>
        <a:xfrm>
          <a:off x="2133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1440</xdr:row>
      <xdr:rowOff>0</xdr:rowOff>
    </xdr:from>
    <xdr:to>
      <xdr:col>12</xdr:col>
      <xdr:colOff>304800</xdr:colOff>
      <xdr:row>1446</xdr:row>
      <xdr:rowOff>95250</xdr:rowOff>
    </xdr:to>
    <xdr:sp macro="" textlink="">
      <xdr:nvSpPr>
        <xdr:cNvPr id="697" name="TextBox 696"/>
        <xdr:cNvSpPr txBox="1"/>
      </xdr:nvSpPr>
      <xdr:spPr>
        <a:xfrm>
          <a:off x="6705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1470</xdr:row>
      <xdr:rowOff>0</xdr:rowOff>
    </xdr:from>
    <xdr:to>
      <xdr:col>2</xdr:col>
      <xdr:colOff>114300</xdr:colOff>
      <xdr:row>1475</xdr:row>
      <xdr:rowOff>95250</xdr:rowOff>
    </xdr:to>
    <xdr:sp macro="" textlink="">
      <xdr:nvSpPr>
        <xdr:cNvPr id="698" name="TextBox 697"/>
        <xdr:cNvSpPr txBox="1"/>
      </xdr:nvSpPr>
      <xdr:spPr>
        <a:xfrm>
          <a:off x="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1470</xdr:row>
      <xdr:rowOff>0</xdr:rowOff>
    </xdr:from>
    <xdr:to>
      <xdr:col>9</xdr:col>
      <xdr:colOff>114300</xdr:colOff>
      <xdr:row>1475</xdr:row>
      <xdr:rowOff>95250</xdr:rowOff>
    </xdr:to>
    <xdr:sp macro="" textlink="">
      <xdr:nvSpPr>
        <xdr:cNvPr id="699" name="TextBox 698"/>
        <xdr:cNvSpPr txBox="1"/>
      </xdr:nvSpPr>
      <xdr:spPr>
        <a:xfrm>
          <a:off x="457200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1470</xdr:row>
      <xdr:rowOff>0</xdr:rowOff>
    </xdr:from>
    <xdr:to>
      <xdr:col>5</xdr:col>
      <xdr:colOff>304800</xdr:colOff>
      <xdr:row>1476</xdr:row>
      <xdr:rowOff>95250</xdr:rowOff>
    </xdr:to>
    <xdr:sp macro="" textlink="">
      <xdr:nvSpPr>
        <xdr:cNvPr id="700" name="TextBox 699"/>
        <xdr:cNvSpPr txBox="1"/>
      </xdr:nvSpPr>
      <xdr:spPr>
        <a:xfrm>
          <a:off x="2133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1470</xdr:row>
      <xdr:rowOff>0</xdr:rowOff>
    </xdr:from>
    <xdr:to>
      <xdr:col>12</xdr:col>
      <xdr:colOff>304800</xdr:colOff>
      <xdr:row>1476</xdr:row>
      <xdr:rowOff>95250</xdr:rowOff>
    </xdr:to>
    <xdr:sp macro="" textlink="">
      <xdr:nvSpPr>
        <xdr:cNvPr id="701" name="TextBox 700"/>
        <xdr:cNvSpPr txBox="1"/>
      </xdr:nvSpPr>
      <xdr:spPr>
        <a:xfrm>
          <a:off x="6705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114300</xdr:colOff>
      <xdr:row>5</xdr:row>
      <xdr:rowOff>95250</xdr:rowOff>
    </xdr:to>
    <xdr:sp macro="" textlink="">
      <xdr:nvSpPr>
        <xdr:cNvPr id="702" name="TextBox 701"/>
        <xdr:cNvSpPr txBox="1"/>
      </xdr:nvSpPr>
      <xdr:spPr>
        <a:xfrm>
          <a:off x="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9</xdr:col>
      <xdr:colOff>114300</xdr:colOff>
      <xdr:row>5</xdr:row>
      <xdr:rowOff>95250</xdr:rowOff>
    </xdr:to>
    <xdr:sp macro="" textlink="">
      <xdr:nvSpPr>
        <xdr:cNvPr id="703" name="TextBox 702"/>
        <xdr:cNvSpPr txBox="1"/>
      </xdr:nvSpPr>
      <xdr:spPr>
        <a:xfrm>
          <a:off x="457200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5</xdr:col>
      <xdr:colOff>304800</xdr:colOff>
      <xdr:row>6</xdr:row>
      <xdr:rowOff>95250</xdr:rowOff>
    </xdr:to>
    <xdr:sp macro="" textlink="">
      <xdr:nvSpPr>
        <xdr:cNvPr id="704" name="TextBox 703"/>
        <xdr:cNvSpPr txBox="1"/>
      </xdr:nvSpPr>
      <xdr:spPr>
        <a:xfrm>
          <a:off x="2133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705" name="TextBox 704"/>
        <xdr:cNvSpPr txBox="1"/>
      </xdr:nvSpPr>
      <xdr:spPr>
        <a:xfrm>
          <a:off x="6705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114300</xdr:colOff>
      <xdr:row>35</xdr:row>
      <xdr:rowOff>95250</xdr:rowOff>
    </xdr:to>
    <xdr:sp macro="" textlink="">
      <xdr:nvSpPr>
        <xdr:cNvPr id="706" name="TextBox 705"/>
        <xdr:cNvSpPr txBox="1"/>
      </xdr:nvSpPr>
      <xdr:spPr>
        <a:xfrm>
          <a:off x="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114300</xdr:colOff>
      <xdr:row>35</xdr:row>
      <xdr:rowOff>95250</xdr:rowOff>
    </xdr:to>
    <xdr:sp macro="" textlink="">
      <xdr:nvSpPr>
        <xdr:cNvPr id="707" name="TextBox 706"/>
        <xdr:cNvSpPr txBox="1"/>
      </xdr:nvSpPr>
      <xdr:spPr>
        <a:xfrm>
          <a:off x="457200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5</xdr:col>
      <xdr:colOff>304800</xdr:colOff>
      <xdr:row>36</xdr:row>
      <xdr:rowOff>95250</xdr:rowOff>
    </xdr:to>
    <xdr:sp macro="" textlink="">
      <xdr:nvSpPr>
        <xdr:cNvPr id="708" name="TextBox 707"/>
        <xdr:cNvSpPr txBox="1"/>
      </xdr:nvSpPr>
      <xdr:spPr>
        <a:xfrm>
          <a:off x="2133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304800</xdr:colOff>
      <xdr:row>36</xdr:row>
      <xdr:rowOff>95250</xdr:rowOff>
    </xdr:to>
    <xdr:sp macro="" textlink="">
      <xdr:nvSpPr>
        <xdr:cNvPr id="709" name="TextBox 708"/>
        <xdr:cNvSpPr txBox="1"/>
      </xdr:nvSpPr>
      <xdr:spPr>
        <a:xfrm>
          <a:off x="6705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114300</xdr:colOff>
      <xdr:row>65</xdr:row>
      <xdr:rowOff>95250</xdr:rowOff>
    </xdr:to>
    <xdr:sp macro="" textlink="">
      <xdr:nvSpPr>
        <xdr:cNvPr id="710" name="TextBox 709"/>
        <xdr:cNvSpPr txBox="1"/>
      </xdr:nvSpPr>
      <xdr:spPr>
        <a:xfrm>
          <a:off x="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9</xdr:col>
      <xdr:colOff>114300</xdr:colOff>
      <xdr:row>65</xdr:row>
      <xdr:rowOff>95250</xdr:rowOff>
    </xdr:to>
    <xdr:sp macro="" textlink="">
      <xdr:nvSpPr>
        <xdr:cNvPr id="711" name="TextBox 710"/>
        <xdr:cNvSpPr txBox="1"/>
      </xdr:nvSpPr>
      <xdr:spPr>
        <a:xfrm>
          <a:off x="457200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5</xdr:col>
      <xdr:colOff>304800</xdr:colOff>
      <xdr:row>66</xdr:row>
      <xdr:rowOff>95250</xdr:rowOff>
    </xdr:to>
    <xdr:sp macro="" textlink="">
      <xdr:nvSpPr>
        <xdr:cNvPr id="712" name="TextBox 711"/>
        <xdr:cNvSpPr txBox="1"/>
      </xdr:nvSpPr>
      <xdr:spPr>
        <a:xfrm>
          <a:off x="2133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12</xdr:col>
      <xdr:colOff>304800</xdr:colOff>
      <xdr:row>66</xdr:row>
      <xdr:rowOff>95250</xdr:rowOff>
    </xdr:to>
    <xdr:sp macro="" textlink="">
      <xdr:nvSpPr>
        <xdr:cNvPr id="713" name="TextBox 712"/>
        <xdr:cNvSpPr txBox="1"/>
      </xdr:nvSpPr>
      <xdr:spPr>
        <a:xfrm>
          <a:off x="6705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2</xdr:col>
      <xdr:colOff>114300</xdr:colOff>
      <xdr:row>95</xdr:row>
      <xdr:rowOff>95250</xdr:rowOff>
    </xdr:to>
    <xdr:sp macro="" textlink="">
      <xdr:nvSpPr>
        <xdr:cNvPr id="714" name="TextBox 713"/>
        <xdr:cNvSpPr txBox="1"/>
      </xdr:nvSpPr>
      <xdr:spPr>
        <a:xfrm>
          <a:off x="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9</xdr:col>
      <xdr:colOff>114300</xdr:colOff>
      <xdr:row>95</xdr:row>
      <xdr:rowOff>95250</xdr:rowOff>
    </xdr:to>
    <xdr:sp macro="" textlink="">
      <xdr:nvSpPr>
        <xdr:cNvPr id="715" name="TextBox 714"/>
        <xdr:cNvSpPr txBox="1"/>
      </xdr:nvSpPr>
      <xdr:spPr>
        <a:xfrm>
          <a:off x="457200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5</xdr:col>
      <xdr:colOff>304800</xdr:colOff>
      <xdr:row>96</xdr:row>
      <xdr:rowOff>95250</xdr:rowOff>
    </xdr:to>
    <xdr:sp macro="" textlink="">
      <xdr:nvSpPr>
        <xdr:cNvPr id="716" name="TextBox 715"/>
        <xdr:cNvSpPr txBox="1"/>
      </xdr:nvSpPr>
      <xdr:spPr>
        <a:xfrm>
          <a:off x="2133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12</xdr:col>
      <xdr:colOff>304800</xdr:colOff>
      <xdr:row>96</xdr:row>
      <xdr:rowOff>95250</xdr:rowOff>
    </xdr:to>
    <xdr:sp macro="" textlink="">
      <xdr:nvSpPr>
        <xdr:cNvPr id="717" name="TextBox 716"/>
        <xdr:cNvSpPr txBox="1"/>
      </xdr:nvSpPr>
      <xdr:spPr>
        <a:xfrm>
          <a:off x="6705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114300</xdr:colOff>
      <xdr:row>125</xdr:row>
      <xdr:rowOff>95250</xdr:rowOff>
    </xdr:to>
    <xdr:sp macro="" textlink="">
      <xdr:nvSpPr>
        <xdr:cNvPr id="718" name="TextBox 717"/>
        <xdr:cNvSpPr txBox="1"/>
      </xdr:nvSpPr>
      <xdr:spPr>
        <a:xfrm>
          <a:off x="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9</xdr:col>
      <xdr:colOff>114300</xdr:colOff>
      <xdr:row>125</xdr:row>
      <xdr:rowOff>95250</xdr:rowOff>
    </xdr:to>
    <xdr:sp macro="" textlink="">
      <xdr:nvSpPr>
        <xdr:cNvPr id="719" name="TextBox 718"/>
        <xdr:cNvSpPr txBox="1"/>
      </xdr:nvSpPr>
      <xdr:spPr>
        <a:xfrm>
          <a:off x="457200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304800</xdr:colOff>
      <xdr:row>126</xdr:row>
      <xdr:rowOff>95250</xdr:rowOff>
    </xdr:to>
    <xdr:sp macro="" textlink="">
      <xdr:nvSpPr>
        <xdr:cNvPr id="720" name="TextBox 719"/>
        <xdr:cNvSpPr txBox="1"/>
      </xdr:nvSpPr>
      <xdr:spPr>
        <a:xfrm>
          <a:off x="2133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</xdr:row>
      <xdr:rowOff>0</xdr:rowOff>
    </xdr:from>
    <xdr:to>
      <xdr:col>12</xdr:col>
      <xdr:colOff>304800</xdr:colOff>
      <xdr:row>126</xdr:row>
      <xdr:rowOff>95250</xdr:rowOff>
    </xdr:to>
    <xdr:sp macro="" textlink="">
      <xdr:nvSpPr>
        <xdr:cNvPr id="721" name="TextBox 720"/>
        <xdr:cNvSpPr txBox="1"/>
      </xdr:nvSpPr>
      <xdr:spPr>
        <a:xfrm>
          <a:off x="6705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150</xdr:row>
      <xdr:rowOff>0</xdr:rowOff>
    </xdr:from>
    <xdr:to>
      <xdr:col>2</xdr:col>
      <xdr:colOff>114300</xdr:colOff>
      <xdr:row>155</xdr:row>
      <xdr:rowOff>95250</xdr:rowOff>
    </xdr:to>
    <xdr:sp macro="" textlink="">
      <xdr:nvSpPr>
        <xdr:cNvPr id="722" name="TextBox 721"/>
        <xdr:cNvSpPr txBox="1"/>
      </xdr:nvSpPr>
      <xdr:spPr>
        <a:xfrm>
          <a:off x="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150</xdr:row>
      <xdr:rowOff>0</xdr:rowOff>
    </xdr:from>
    <xdr:to>
      <xdr:col>9</xdr:col>
      <xdr:colOff>114300</xdr:colOff>
      <xdr:row>155</xdr:row>
      <xdr:rowOff>95250</xdr:rowOff>
    </xdr:to>
    <xdr:sp macro="" textlink="">
      <xdr:nvSpPr>
        <xdr:cNvPr id="723" name="TextBox 722"/>
        <xdr:cNvSpPr txBox="1"/>
      </xdr:nvSpPr>
      <xdr:spPr>
        <a:xfrm>
          <a:off x="457200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5</xdr:col>
      <xdr:colOff>304800</xdr:colOff>
      <xdr:row>156</xdr:row>
      <xdr:rowOff>95250</xdr:rowOff>
    </xdr:to>
    <xdr:sp macro="" textlink="">
      <xdr:nvSpPr>
        <xdr:cNvPr id="724" name="TextBox 723"/>
        <xdr:cNvSpPr txBox="1"/>
      </xdr:nvSpPr>
      <xdr:spPr>
        <a:xfrm>
          <a:off x="2133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12</xdr:col>
      <xdr:colOff>304800</xdr:colOff>
      <xdr:row>156</xdr:row>
      <xdr:rowOff>95250</xdr:rowOff>
    </xdr:to>
    <xdr:sp macro="" textlink="">
      <xdr:nvSpPr>
        <xdr:cNvPr id="725" name="TextBox 724"/>
        <xdr:cNvSpPr txBox="1"/>
      </xdr:nvSpPr>
      <xdr:spPr>
        <a:xfrm>
          <a:off x="6705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180</xdr:row>
      <xdr:rowOff>0</xdr:rowOff>
    </xdr:from>
    <xdr:to>
      <xdr:col>2</xdr:col>
      <xdr:colOff>114300</xdr:colOff>
      <xdr:row>185</xdr:row>
      <xdr:rowOff>95250</xdr:rowOff>
    </xdr:to>
    <xdr:sp macro="" textlink="">
      <xdr:nvSpPr>
        <xdr:cNvPr id="726" name="TextBox 725"/>
        <xdr:cNvSpPr txBox="1"/>
      </xdr:nvSpPr>
      <xdr:spPr>
        <a:xfrm>
          <a:off x="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9</xdr:col>
      <xdr:colOff>114300</xdr:colOff>
      <xdr:row>185</xdr:row>
      <xdr:rowOff>95250</xdr:rowOff>
    </xdr:to>
    <xdr:sp macro="" textlink="">
      <xdr:nvSpPr>
        <xdr:cNvPr id="727" name="TextBox 726"/>
        <xdr:cNvSpPr txBox="1"/>
      </xdr:nvSpPr>
      <xdr:spPr>
        <a:xfrm>
          <a:off x="457200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5</xdr:col>
      <xdr:colOff>304800</xdr:colOff>
      <xdr:row>186</xdr:row>
      <xdr:rowOff>95250</xdr:rowOff>
    </xdr:to>
    <xdr:sp macro="" textlink="">
      <xdr:nvSpPr>
        <xdr:cNvPr id="728" name="TextBox 727"/>
        <xdr:cNvSpPr txBox="1"/>
      </xdr:nvSpPr>
      <xdr:spPr>
        <a:xfrm>
          <a:off x="2133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180</xdr:row>
      <xdr:rowOff>0</xdr:rowOff>
    </xdr:from>
    <xdr:to>
      <xdr:col>12</xdr:col>
      <xdr:colOff>304800</xdr:colOff>
      <xdr:row>186</xdr:row>
      <xdr:rowOff>95250</xdr:rowOff>
    </xdr:to>
    <xdr:sp macro="" textlink="">
      <xdr:nvSpPr>
        <xdr:cNvPr id="729" name="TextBox 728"/>
        <xdr:cNvSpPr txBox="1"/>
      </xdr:nvSpPr>
      <xdr:spPr>
        <a:xfrm>
          <a:off x="6705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210</xdr:row>
      <xdr:rowOff>0</xdr:rowOff>
    </xdr:from>
    <xdr:to>
      <xdr:col>2</xdr:col>
      <xdr:colOff>114300</xdr:colOff>
      <xdr:row>215</xdr:row>
      <xdr:rowOff>95250</xdr:rowOff>
    </xdr:to>
    <xdr:sp macro="" textlink="">
      <xdr:nvSpPr>
        <xdr:cNvPr id="730" name="TextBox 729"/>
        <xdr:cNvSpPr txBox="1"/>
      </xdr:nvSpPr>
      <xdr:spPr>
        <a:xfrm>
          <a:off x="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9</xdr:col>
      <xdr:colOff>114300</xdr:colOff>
      <xdr:row>215</xdr:row>
      <xdr:rowOff>95250</xdr:rowOff>
    </xdr:to>
    <xdr:sp macro="" textlink="">
      <xdr:nvSpPr>
        <xdr:cNvPr id="731" name="TextBox 730"/>
        <xdr:cNvSpPr txBox="1"/>
      </xdr:nvSpPr>
      <xdr:spPr>
        <a:xfrm>
          <a:off x="457200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5</xdr:col>
      <xdr:colOff>304800</xdr:colOff>
      <xdr:row>216</xdr:row>
      <xdr:rowOff>95250</xdr:rowOff>
    </xdr:to>
    <xdr:sp macro="" textlink="">
      <xdr:nvSpPr>
        <xdr:cNvPr id="732" name="TextBox 731"/>
        <xdr:cNvSpPr txBox="1"/>
      </xdr:nvSpPr>
      <xdr:spPr>
        <a:xfrm>
          <a:off x="2133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210</xdr:row>
      <xdr:rowOff>0</xdr:rowOff>
    </xdr:from>
    <xdr:to>
      <xdr:col>12</xdr:col>
      <xdr:colOff>304800</xdr:colOff>
      <xdr:row>216</xdr:row>
      <xdr:rowOff>95250</xdr:rowOff>
    </xdr:to>
    <xdr:sp macro="" textlink="">
      <xdr:nvSpPr>
        <xdr:cNvPr id="733" name="TextBox 732"/>
        <xdr:cNvSpPr txBox="1"/>
      </xdr:nvSpPr>
      <xdr:spPr>
        <a:xfrm>
          <a:off x="6705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240</xdr:row>
      <xdr:rowOff>0</xdr:rowOff>
    </xdr:from>
    <xdr:to>
      <xdr:col>2</xdr:col>
      <xdr:colOff>114300</xdr:colOff>
      <xdr:row>245</xdr:row>
      <xdr:rowOff>95250</xdr:rowOff>
    </xdr:to>
    <xdr:sp macro="" textlink="">
      <xdr:nvSpPr>
        <xdr:cNvPr id="734" name="TextBox 733"/>
        <xdr:cNvSpPr txBox="1"/>
      </xdr:nvSpPr>
      <xdr:spPr>
        <a:xfrm>
          <a:off x="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240</xdr:row>
      <xdr:rowOff>0</xdr:rowOff>
    </xdr:from>
    <xdr:to>
      <xdr:col>9</xdr:col>
      <xdr:colOff>114300</xdr:colOff>
      <xdr:row>245</xdr:row>
      <xdr:rowOff>95250</xdr:rowOff>
    </xdr:to>
    <xdr:sp macro="" textlink="">
      <xdr:nvSpPr>
        <xdr:cNvPr id="735" name="TextBox 734"/>
        <xdr:cNvSpPr txBox="1"/>
      </xdr:nvSpPr>
      <xdr:spPr>
        <a:xfrm>
          <a:off x="457200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5</xdr:col>
      <xdr:colOff>304800</xdr:colOff>
      <xdr:row>246</xdr:row>
      <xdr:rowOff>95250</xdr:rowOff>
    </xdr:to>
    <xdr:sp macro="" textlink="">
      <xdr:nvSpPr>
        <xdr:cNvPr id="736" name="TextBox 735"/>
        <xdr:cNvSpPr txBox="1"/>
      </xdr:nvSpPr>
      <xdr:spPr>
        <a:xfrm>
          <a:off x="2133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240</xdr:row>
      <xdr:rowOff>0</xdr:rowOff>
    </xdr:from>
    <xdr:to>
      <xdr:col>12</xdr:col>
      <xdr:colOff>304800</xdr:colOff>
      <xdr:row>246</xdr:row>
      <xdr:rowOff>95250</xdr:rowOff>
    </xdr:to>
    <xdr:sp macro="" textlink="">
      <xdr:nvSpPr>
        <xdr:cNvPr id="737" name="TextBox 736"/>
        <xdr:cNvSpPr txBox="1"/>
      </xdr:nvSpPr>
      <xdr:spPr>
        <a:xfrm>
          <a:off x="6705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270</xdr:row>
      <xdr:rowOff>0</xdr:rowOff>
    </xdr:from>
    <xdr:to>
      <xdr:col>2</xdr:col>
      <xdr:colOff>114300</xdr:colOff>
      <xdr:row>275</xdr:row>
      <xdr:rowOff>95250</xdr:rowOff>
    </xdr:to>
    <xdr:sp macro="" textlink="">
      <xdr:nvSpPr>
        <xdr:cNvPr id="738" name="TextBox 737"/>
        <xdr:cNvSpPr txBox="1"/>
      </xdr:nvSpPr>
      <xdr:spPr>
        <a:xfrm>
          <a:off x="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270</xdr:row>
      <xdr:rowOff>0</xdr:rowOff>
    </xdr:from>
    <xdr:to>
      <xdr:col>9</xdr:col>
      <xdr:colOff>114300</xdr:colOff>
      <xdr:row>275</xdr:row>
      <xdr:rowOff>95250</xdr:rowOff>
    </xdr:to>
    <xdr:sp macro="" textlink="">
      <xdr:nvSpPr>
        <xdr:cNvPr id="739" name="TextBox 738"/>
        <xdr:cNvSpPr txBox="1"/>
      </xdr:nvSpPr>
      <xdr:spPr>
        <a:xfrm>
          <a:off x="457200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270</xdr:row>
      <xdr:rowOff>0</xdr:rowOff>
    </xdr:from>
    <xdr:to>
      <xdr:col>5</xdr:col>
      <xdr:colOff>304800</xdr:colOff>
      <xdr:row>276</xdr:row>
      <xdr:rowOff>95250</xdr:rowOff>
    </xdr:to>
    <xdr:sp macro="" textlink="">
      <xdr:nvSpPr>
        <xdr:cNvPr id="740" name="TextBox 739"/>
        <xdr:cNvSpPr txBox="1"/>
      </xdr:nvSpPr>
      <xdr:spPr>
        <a:xfrm>
          <a:off x="2133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270</xdr:row>
      <xdr:rowOff>0</xdr:rowOff>
    </xdr:from>
    <xdr:to>
      <xdr:col>12</xdr:col>
      <xdr:colOff>304800</xdr:colOff>
      <xdr:row>276</xdr:row>
      <xdr:rowOff>95250</xdr:rowOff>
    </xdr:to>
    <xdr:sp macro="" textlink="">
      <xdr:nvSpPr>
        <xdr:cNvPr id="741" name="TextBox 740"/>
        <xdr:cNvSpPr txBox="1"/>
      </xdr:nvSpPr>
      <xdr:spPr>
        <a:xfrm>
          <a:off x="6705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300</xdr:row>
      <xdr:rowOff>0</xdr:rowOff>
    </xdr:from>
    <xdr:to>
      <xdr:col>2</xdr:col>
      <xdr:colOff>114300</xdr:colOff>
      <xdr:row>305</xdr:row>
      <xdr:rowOff>95250</xdr:rowOff>
    </xdr:to>
    <xdr:sp macro="" textlink="">
      <xdr:nvSpPr>
        <xdr:cNvPr id="742" name="TextBox 741"/>
        <xdr:cNvSpPr txBox="1"/>
      </xdr:nvSpPr>
      <xdr:spPr>
        <a:xfrm>
          <a:off x="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300</xdr:row>
      <xdr:rowOff>0</xdr:rowOff>
    </xdr:from>
    <xdr:to>
      <xdr:col>9</xdr:col>
      <xdr:colOff>114300</xdr:colOff>
      <xdr:row>305</xdr:row>
      <xdr:rowOff>95250</xdr:rowOff>
    </xdr:to>
    <xdr:sp macro="" textlink="">
      <xdr:nvSpPr>
        <xdr:cNvPr id="743" name="TextBox 742"/>
        <xdr:cNvSpPr txBox="1"/>
      </xdr:nvSpPr>
      <xdr:spPr>
        <a:xfrm>
          <a:off x="457200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5</xdr:col>
      <xdr:colOff>304800</xdr:colOff>
      <xdr:row>306</xdr:row>
      <xdr:rowOff>95250</xdr:rowOff>
    </xdr:to>
    <xdr:sp macro="" textlink="">
      <xdr:nvSpPr>
        <xdr:cNvPr id="744" name="TextBox 743"/>
        <xdr:cNvSpPr txBox="1"/>
      </xdr:nvSpPr>
      <xdr:spPr>
        <a:xfrm>
          <a:off x="2133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300</xdr:row>
      <xdr:rowOff>0</xdr:rowOff>
    </xdr:from>
    <xdr:to>
      <xdr:col>12</xdr:col>
      <xdr:colOff>304800</xdr:colOff>
      <xdr:row>306</xdr:row>
      <xdr:rowOff>95250</xdr:rowOff>
    </xdr:to>
    <xdr:sp macro="" textlink="">
      <xdr:nvSpPr>
        <xdr:cNvPr id="745" name="TextBox 744"/>
        <xdr:cNvSpPr txBox="1"/>
      </xdr:nvSpPr>
      <xdr:spPr>
        <a:xfrm>
          <a:off x="6705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330</xdr:row>
      <xdr:rowOff>0</xdr:rowOff>
    </xdr:from>
    <xdr:to>
      <xdr:col>2</xdr:col>
      <xdr:colOff>114300</xdr:colOff>
      <xdr:row>335</xdr:row>
      <xdr:rowOff>95250</xdr:rowOff>
    </xdr:to>
    <xdr:sp macro="" textlink="">
      <xdr:nvSpPr>
        <xdr:cNvPr id="746" name="TextBox 745"/>
        <xdr:cNvSpPr txBox="1"/>
      </xdr:nvSpPr>
      <xdr:spPr>
        <a:xfrm>
          <a:off x="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330</xdr:row>
      <xdr:rowOff>0</xdr:rowOff>
    </xdr:from>
    <xdr:to>
      <xdr:col>9</xdr:col>
      <xdr:colOff>114300</xdr:colOff>
      <xdr:row>335</xdr:row>
      <xdr:rowOff>95250</xdr:rowOff>
    </xdr:to>
    <xdr:sp macro="" textlink="">
      <xdr:nvSpPr>
        <xdr:cNvPr id="747" name="TextBox 746"/>
        <xdr:cNvSpPr txBox="1"/>
      </xdr:nvSpPr>
      <xdr:spPr>
        <a:xfrm>
          <a:off x="457200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330</xdr:row>
      <xdr:rowOff>0</xdr:rowOff>
    </xdr:from>
    <xdr:to>
      <xdr:col>5</xdr:col>
      <xdr:colOff>304800</xdr:colOff>
      <xdr:row>336</xdr:row>
      <xdr:rowOff>95250</xdr:rowOff>
    </xdr:to>
    <xdr:sp macro="" textlink="">
      <xdr:nvSpPr>
        <xdr:cNvPr id="748" name="TextBox 747"/>
        <xdr:cNvSpPr txBox="1"/>
      </xdr:nvSpPr>
      <xdr:spPr>
        <a:xfrm>
          <a:off x="2133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330</xdr:row>
      <xdr:rowOff>0</xdr:rowOff>
    </xdr:from>
    <xdr:to>
      <xdr:col>12</xdr:col>
      <xdr:colOff>304800</xdr:colOff>
      <xdr:row>336</xdr:row>
      <xdr:rowOff>95250</xdr:rowOff>
    </xdr:to>
    <xdr:sp macro="" textlink="">
      <xdr:nvSpPr>
        <xdr:cNvPr id="749" name="TextBox 748"/>
        <xdr:cNvSpPr txBox="1"/>
      </xdr:nvSpPr>
      <xdr:spPr>
        <a:xfrm>
          <a:off x="6705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360</xdr:row>
      <xdr:rowOff>0</xdr:rowOff>
    </xdr:from>
    <xdr:to>
      <xdr:col>2</xdr:col>
      <xdr:colOff>114300</xdr:colOff>
      <xdr:row>365</xdr:row>
      <xdr:rowOff>95250</xdr:rowOff>
    </xdr:to>
    <xdr:sp macro="" textlink="">
      <xdr:nvSpPr>
        <xdr:cNvPr id="750" name="TextBox 749"/>
        <xdr:cNvSpPr txBox="1"/>
      </xdr:nvSpPr>
      <xdr:spPr>
        <a:xfrm>
          <a:off x="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360</xdr:row>
      <xdr:rowOff>0</xdr:rowOff>
    </xdr:from>
    <xdr:to>
      <xdr:col>9</xdr:col>
      <xdr:colOff>114300</xdr:colOff>
      <xdr:row>365</xdr:row>
      <xdr:rowOff>95250</xdr:rowOff>
    </xdr:to>
    <xdr:sp macro="" textlink="">
      <xdr:nvSpPr>
        <xdr:cNvPr id="751" name="TextBox 750"/>
        <xdr:cNvSpPr txBox="1"/>
      </xdr:nvSpPr>
      <xdr:spPr>
        <a:xfrm>
          <a:off x="457200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360</xdr:row>
      <xdr:rowOff>0</xdr:rowOff>
    </xdr:from>
    <xdr:to>
      <xdr:col>5</xdr:col>
      <xdr:colOff>304800</xdr:colOff>
      <xdr:row>366</xdr:row>
      <xdr:rowOff>95250</xdr:rowOff>
    </xdr:to>
    <xdr:sp macro="" textlink="">
      <xdr:nvSpPr>
        <xdr:cNvPr id="752" name="TextBox 751"/>
        <xdr:cNvSpPr txBox="1"/>
      </xdr:nvSpPr>
      <xdr:spPr>
        <a:xfrm>
          <a:off x="2133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360</xdr:row>
      <xdr:rowOff>0</xdr:rowOff>
    </xdr:from>
    <xdr:to>
      <xdr:col>12</xdr:col>
      <xdr:colOff>304800</xdr:colOff>
      <xdr:row>366</xdr:row>
      <xdr:rowOff>95250</xdr:rowOff>
    </xdr:to>
    <xdr:sp macro="" textlink="">
      <xdr:nvSpPr>
        <xdr:cNvPr id="753" name="TextBox 752"/>
        <xdr:cNvSpPr txBox="1"/>
      </xdr:nvSpPr>
      <xdr:spPr>
        <a:xfrm>
          <a:off x="6705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390</xdr:row>
      <xdr:rowOff>0</xdr:rowOff>
    </xdr:from>
    <xdr:to>
      <xdr:col>2</xdr:col>
      <xdr:colOff>114300</xdr:colOff>
      <xdr:row>395</xdr:row>
      <xdr:rowOff>95250</xdr:rowOff>
    </xdr:to>
    <xdr:sp macro="" textlink="">
      <xdr:nvSpPr>
        <xdr:cNvPr id="754" name="TextBox 753"/>
        <xdr:cNvSpPr txBox="1"/>
      </xdr:nvSpPr>
      <xdr:spPr>
        <a:xfrm>
          <a:off x="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390</xdr:row>
      <xdr:rowOff>0</xdr:rowOff>
    </xdr:from>
    <xdr:to>
      <xdr:col>9</xdr:col>
      <xdr:colOff>114300</xdr:colOff>
      <xdr:row>395</xdr:row>
      <xdr:rowOff>95250</xdr:rowOff>
    </xdr:to>
    <xdr:sp macro="" textlink="">
      <xdr:nvSpPr>
        <xdr:cNvPr id="755" name="TextBox 754"/>
        <xdr:cNvSpPr txBox="1"/>
      </xdr:nvSpPr>
      <xdr:spPr>
        <a:xfrm>
          <a:off x="457200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390</xdr:row>
      <xdr:rowOff>0</xdr:rowOff>
    </xdr:from>
    <xdr:to>
      <xdr:col>5</xdr:col>
      <xdr:colOff>304800</xdr:colOff>
      <xdr:row>396</xdr:row>
      <xdr:rowOff>95250</xdr:rowOff>
    </xdr:to>
    <xdr:sp macro="" textlink="">
      <xdr:nvSpPr>
        <xdr:cNvPr id="756" name="TextBox 755"/>
        <xdr:cNvSpPr txBox="1"/>
      </xdr:nvSpPr>
      <xdr:spPr>
        <a:xfrm>
          <a:off x="2133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390</xdr:row>
      <xdr:rowOff>0</xdr:rowOff>
    </xdr:from>
    <xdr:to>
      <xdr:col>12</xdr:col>
      <xdr:colOff>304800</xdr:colOff>
      <xdr:row>396</xdr:row>
      <xdr:rowOff>95250</xdr:rowOff>
    </xdr:to>
    <xdr:sp macro="" textlink="">
      <xdr:nvSpPr>
        <xdr:cNvPr id="757" name="TextBox 756"/>
        <xdr:cNvSpPr txBox="1"/>
      </xdr:nvSpPr>
      <xdr:spPr>
        <a:xfrm>
          <a:off x="6705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420</xdr:row>
      <xdr:rowOff>0</xdr:rowOff>
    </xdr:from>
    <xdr:to>
      <xdr:col>2</xdr:col>
      <xdr:colOff>114300</xdr:colOff>
      <xdr:row>425</xdr:row>
      <xdr:rowOff>95250</xdr:rowOff>
    </xdr:to>
    <xdr:sp macro="" textlink="">
      <xdr:nvSpPr>
        <xdr:cNvPr id="758" name="TextBox 757"/>
        <xdr:cNvSpPr txBox="1"/>
      </xdr:nvSpPr>
      <xdr:spPr>
        <a:xfrm>
          <a:off x="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420</xdr:row>
      <xdr:rowOff>0</xdr:rowOff>
    </xdr:from>
    <xdr:to>
      <xdr:col>9</xdr:col>
      <xdr:colOff>114300</xdr:colOff>
      <xdr:row>425</xdr:row>
      <xdr:rowOff>95250</xdr:rowOff>
    </xdr:to>
    <xdr:sp macro="" textlink="">
      <xdr:nvSpPr>
        <xdr:cNvPr id="759" name="TextBox 758"/>
        <xdr:cNvSpPr txBox="1"/>
      </xdr:nvSpPr>
      <xdr:spPr>
        <a:xfrm>
          <a:off x="457200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420</xdr:row>
      <xdr:rowOff>0</xdr:rowOff>
    </xdr:from>
    <xdr:to>
      <xdr:col>5</xdr:col>
      <xdr:colOff>304800</xdr:colOff>
      <xdr:row>426</xdr:row>
      <xdr:rowOff>95250</xdr:rowOff>
    </xdr:to>
    <xdr:sp macro="" textlink="">
      <xdr:nvSpPr>
        <xdr:cNvPr id="760" name="TextBox 759"/>
        <xdr:cNvSpPr txBox="1"/>
      </xdr:nvSpPr>
      <xdr:spPr>
        <a:xfrm>
          <a:off x="2133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420</xdr:row>
      <xdr:rowOff>0</xdr:rowOff>
    </xdr:from>
    <xdr:to>
      <xdr:col>12</xdr:col>
      <xdr:colOff>304800</xdr:colOff>
      <xdr:row>426</xdr:row>
      <xdr:rowOff>95250</xdr:rowOff>
    </xdr:to>
    <xdr:sp macro="" textlink="">
      <xdr:nvSpPr>
        <xdr:cNvPr id="761" name="TextBox 760"/>
        <xdr:cNvSpPr txBox="1"/>
      </xdr:nvSpPr>
      <xdr:spPr>
        <a:xfrm>
          <a:off x="6705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450</xdr:row>
      <xdr:rowOff>0</xdr:rowOff>
    </xdr:from>
    <xdr:to>
      <xdr:col>2</xdr:col>
      <xdr:colOff>114300</xdr:colOff>
      <xdr:row>455</xdr:row>
      <xdr:rowOff>95250</xdr:rowOff>
    </xdr:to>
    <xdr:sp macro="" textlink="">
      <xdr:nvSpPr>
        <xdr:cNvPr id="762" name="TextBox 761"/>
        <xdr:cNvSpPr txBox="1"/>
      </xdr:nvSpPr>
      <xdr:spPr>
        <a:xfrm>
          <a:off x="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9</xdr:col>
      <xdr:colOff>114300</xdr:colOff>
      <xdr:row>455</xdr:row>
      <xdr:rowOff>95250</xdr:rowOff>
    </xdr:to>
    <xdr:sp macro="" textlink="">
      <xdr:nvSpPr>
        <xdr:cNvPr id="763" name="TextBox 762"/>
        <xdr:cNvSpPr txBox="1"/>
      </xdr:nvSpPr>
      <xdr:spPr>
        <a:xfrm>
          <a:off x="457200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450</xdr:row>
      <xdr:rowOff>0</xdr:rowOff>
    </xdr:from>
    <xdr:to>
      <xdr:col>5</xdr:col>
      <xdr:colOff>304800</xdr:colOff>
      <xdr:row>456</xdr:row>
      <xdr:rowOff>95250</xdr:rowOff>
    </xdr:to>
    <xdr:sp macro="" textlink="">
      <xdr:nvSpPr>
        <xdr:cNvPr id="764" name="TextBox 763"/>
        <xdr:cNvSpPr txBox="1"/>
      </xdr:nvSpPr>
      <xdr:spPr>
        <a:xfrm>
          <a:off x="2133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450</xdr:row>
      <xdr:rowOff>0</xdr:rowOff>
    </xdr:from>
    <xdr:to>
      <xdr:col>12</xdr:col>
      <xdr:colOff>304800</xdr:colOff>
      <xdr:row>456</xdr:row>
      <xdr:rowOff>95250</xdr:rowOff>
    </xdr:to>
    <xdr:sp macro="" textlink="">
      <xdr:nvSpPr>
        <xdr:cNvPr id="765" name="TextBox 764"/>
        <xdr:cNvSpPr txBox="1"/>
      </xdr:nvSpPr>
      <xdr:spPr>
        <a:xfrm>
          <a:off x="6705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480</xdr:row>
      <xdr:rowOff>0</xdr:rowOff>
    </xdr:from>
    <xdr:to>
      <xdr:col>2</xdr:col>
      <xdr:colOff>114300</xdr:colOff>
      <xdr:row>485</xdr:row>
      <xdr:rowOff>95250</xdr:rowOff>
    </xdr:to>
    <xdr:sp macro="" textlink="">
      <xdr:nvSpPr>
        <xdr:cNvPr id="766" name="TextBox 765"/>
        <xdr:cNvSpPr txBox="1"/>
      </xdr:nvSpPr>
      <xdr:spPr>
        <a:xfrm>
          <a:off x="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480</xdr:row>
      <xdr:rowOff>0</xdr:rowOff>
    </xdr:from>
    <xdr:to>
      <xdr:col>9</xdr:col>
      <xdr:colOff>114300</xdr:colOff>
      <xdr:row>485</xdr:row>
      <xdr:rowOff>95250</xdr:rowOff>
    </xdr:to>
    <xdr:sp macro="" textlink="">
      <xdr:nvSpPr>
        <xdr:cNvPr id="767" name="TextBox 766"/>
        <xdr:cNvSpPr txBox="1"/>
      </xdr:nvSpPr>
      <xdr:spPr>
        <a:xfrm>
          <a:off x="457200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480</xdr:row>
      <xdr:rowOff>0</xdr:rowOff>
    </xdr:from>
    <xdr:to>
      <xdr:col>5</xdr:col>
      <xdr:colOff>304800</xdr:colOff>
      <xdr:row>486</xdr:row>
      <xdr:rowOff>95250</xdr:rowOff>
    </xdr:to>
    <xdr:sp macro="" textlink="">
      <xdr:nvSpPr>
        <xdr:cNvPr id="768" name="TextBox 767"/>
        <xdr:cNvSpPr txBox="1"/>
      </xdr:nvSpPr>
      <xdr:spPr>
        <a:xfrm>
          <a:off x="2133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480</xdr:row>
      <xdr:rowOff>0</xdr:rowOff>
    </xdr:from>
    <xdr:to>
      <xdr:col>12</xdr:col>
      <xdr:colOff>304800</xdr:colOff>
      <xdr:row>486</xdr:row>
      <xdr:rowOff>95250</xdr:rowOff>
    </xdr:to>
    <xdr:sp macro="" textlink="">
      <xdr:nvSpPr>
        <xdr:cNvPr id="769" name="TextBox 768"/>
        <xdr:cNvSpPr txBox="1"/>
      </xdr:nvSpPr>
      <xdr:spPr>
        <a:xfrm>
          <a:off x="6705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510</xdr:row>
      <xdr:rowOff>0</xdr:rowOff>
    </xdr:from>
    <xdr:to>
      <xdr:col>2</xdr:col>
      <xdr:colOff>114300</xdr:colOff>
      <xdr:row>515</xdr:row>
      <xdr:rowOff>95250</xdr:rowOff>
    </xdr:to>
    <xdr:sp macro="" textlink="">
      <xdr:nvSpPr>
        <xdr:cNvPr id="770" name="TextBox 769"/>
        <xdr:cNvSpPr txBox="1"/>
      </xdr:nvSpPr>
      <xdr:spPr>
        <a:xfrm>
          <a:off x="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510</xdr:row>
      <xdr:rowOff>0</xdr:rowOff>
    </xdr:from>
    <xdr:to>
      <xdr:col>9</xdr:col>
      <xdr:colOff>114300</xdr:colOff>
      <xdr:row>515</xdr:row>
      <xdr:rowOff>95250</xdr:rowOff>
    </xdr:to>
    <xdr:sp macro="" textlink="">
      <xdr:nvSpPr>
        <xdr:cNvPr id="771" name="TextBox 770"/>
        <xdr:cNvSpPr txBox="1"/>
      </xdr:nvSpPr>
      <xdr:spPr>
        <a:xfrm>
          <a:off x="457200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510</xdr:row>
      <xdr:rowOff>0</xdr:rowOff>
    </xdr:from>
    <xdr:to>
      <xdr:col>5</xdr:col>
      <xdr:colOff>304800</xdr:colOff>
      <xdr:row>516</xdr:row>
      <xdr:rowOff>95250</xdr:rowOff>
    </xdr:to>
    <xdr:sp macro="" textlink="">
      <xdr:nvSpPr>
        <xdr:cNvPr id="772" name="TextBox 771"/>
        <xdr:cNvSpPr txBox="1"/>
      </xdr:nvSpPr>
      <xdr:spPr>
        <a:xfrm>
          <a:off x="2133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510</xdr:row>
      <xdr:rowOff>0</xdr:rowOff>
    </xdr:from>
    <xdr:to>
      <xdr:col>12</xdr:col>
      <xdr:colOff>304800</xdr:colOff>
      <xdr:row>516</xdr:row>
      <xdr:rowOff>95250</xdr:rowOff>
    </xdr:to>
    <xdr:sp macro="" textlink="">
      <xdr:nvSpPr>
        <xdr:cNvPr id="773" name="TextBox 772"/>
        <xdr:cNvSpPr txBox="1"/>
      </xdr:nvSpPr>
      <xdr:spPr>
        <a:xfrm>
          <a:off x="6705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540</xdr:row>
      <xdr:rowOff>0</xdr:rowOff>
    </xdr:from>
    <xdr:to>
      <xdr:col>2</xdr:col>
      <xdr:colOff>114300</xdr:colOff>
      <xdr:row>545</xdr:row>
      <xdr:rowOff>95250</xdr:rowOff>
    </xdr:to>
    <xdr:sp macro="" textlink="">
      <xdr:nvSpPr>
        <xdr:cNvPr id="774" name="TextBox 773"/>
        <xdr:cNvSpPr txBox="1"/>
      </xdr:nvSpPr>
      <xdr:spPr>
        <a:xfrm>
          <a:off x="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540</xdr:row>
      <xdr:rowOff>0</xdr:rowOff>
    </xdr:from>
    <xdr:to>
      <xdr:col>9</xdr:col>
      <xdr:colOff>114300</xdr:colOff>
      <xdr:row>545</xdr:row>
      <xdr:rowOff>95250</xdr:rowOff>
    </xdr:to>
    <xdr:sp macro="" textlink="">
      <xdr:nvSpPr>
        <xdr:cNvPr id="775" name="TextBox 774"/>
        <xdr:cNvSpPr txBox="1"/>
      </xdr:nvSpPr>
      <xdr:spPr>
        <a:xfrm>
          <a:off x="457200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540</xdr:row>
      <xdr:rowOff>0</xdr:rowOff>
    </xdr:from>
    <xdr:to>
      <xdr:col>5</xdr:col>
      <xdr:colOff>304800</xdr:colOff>
      <xdr:row>546</xdr:row>
      <xdr:rowOff>95250</xdr:rowOff>
    </xdr:to>
    <xdr:sp macro="" textlink="">
      <xdr:nvSpPr>
        <xdr:cNvPr id="776" name="TextBox 775"/>
        <xdr:cNvSpPr txBox="1"/>
      </xdr:nvSpPr>
      <xdr:spPr>
        <a:xfrm>
          <a:off x="2133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540</xdr:row>
      <xdr:rowOff>0</xdr:rowOff>
    </xdr:from>
    <xdr:to>
      <xdr:col>12</xdr:col>
      <xdr:colOff>304800</xdr:colOff>
      <xdr:row>546</xdr:row>
      <xdr:rowOff>95250</xdr:rowOff>
    </xdr:to>
    <xdr:sp macro="" textlink="">
      <xdr:nvSpPr>
        <xdr:cNvPr id="777" name="TextBox 776"/>
        <xdr:cNvSpPr txBox="1"/>
      </xdr:nvSpPr>
      <xdr:spPr>
        <a:xfrm>
          <a:off x="6705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570</xdr:row>
      <xdr:rowOff>0</xdr:rowOff>
    </xdr:from>
    <xdr:to>
      <xdr:col>2</xdr:col>
      <xdr:colOff>114300</xdr:colOff>
      <xdr:row>575</xdr:row>
      <xdr:rowOff>95250</xdr:rowOff>
    </xdr:to>
    <xdr:sp macro="" textlink="">
      <xdr:nvSpPr>
        <xdr:cNvPr id="778" name="TextBox 777"/>
        <xdr:cNvSpPr txBox="1"/>
      </xdr:nvSpPr>
      <xdr:spPr>
        <a:xfrm>
          <a:off x="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570</xdr:row>
      <xdr:rowOff>0</xdr:rowOff>
    </xdr:from>
    <xdr:to>
      <xdr:col>9</xdr:col>
      <xdr:colOff>114300</xdr:colOff>
      <xdr:row>575</xdr:row>
      <xdr:rowOff>95250</xdr:rowOff>
    </xdr:to>
    <xdr:sp macro="" textlink="">
      <xdr:nvSpPr>
        <xdr:cNvPr id="779" name="TextBox 778"/>
        <xdr:cNvSpPr txBox="1"/>
      </xdr:nvSpPr>
      <xdr:spPr>
        <a:xfrm>
          <a:off x="457200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570</xdr:row>
      <xdr:rowOff>0</xdr:rowOff>
    </xdr:from>
    <xdr:to>
      <xdr:col>5</xdr:col>
      <xdr:colOff>304800</xdr:colOff>
      <xdr:row>576</xdr:row>
      <xdr:rowOff>95250</xdr:rowOff>
    </xdr:to>
    <xdr:sp macro="" textlink="">
      <xdr:nvSpPr>
        <xdr:cNvPr id="780" name="TextBox 779"/>
        <xdr:cNvSpPr txBox="1"/>
      </xdr:nvSpPr>
      <xdr:spPr>
        <a:xfrm>
          <a:off x="2133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570</xdr:row>
      <xdr:rowOff>0</xdr:rowOff>
    </xdr:from>
    <xdr:to>
      <xdr:col>12</xdr:col>
      <xdr:colOff>304800</xdr:colOff>
      <xdr:row>576</xdr:row>
      <xdr:rowOff>95250</xdr:rowOff>
    </xdr:to>
    <xdr:sp macro="" textlink="">
      <xdr:nvSpPr>
        <xdr:cNvPr id="781" name="TextBox 780"/>
        <xdr:cNvSpPr txBox="1"/>
      </xdr:nvSpPr>
      <xdr:spPr>
        <a:xfrm>
          <a:off x="6705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2</xdr:col>
      <xdr:colOff>114300</xdr:colOff>
      <xdr:row>605</xdr:row>
      <xdr:rowOff>95250</xdr:rowOff>
    </xdr:to>
    <xdr:sp macro="" textlink="">
      <xdr:nvSpPr>
        <xdr:cNvPr id="782" name="TextBox 781"/>
        <xdr:cNvSpPr txBox="1"/>
      </xdr:nvSpPr>
      <xdr:spPr>
        <a:xfrm>
          <a:off x="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600</xdr:row>
      <xdr:rowOff>0</xdr:rowOff>
    </xdr:from>
    <xdr:to>
      <xdr:col>9</xdr:col>
      <xdr:colOff>114300</xdr:colOff>
      <xdr:row>605</xdr:row>
      <xdr:rowOff>95250</xdr:rowOff>
    </xdr:to>
    <xdr:sp macro="" textlink="">
      <xdr:nvSpPr>
        <xdr:cNvPr id="783" name="TextBox 782"/>
        <xdr:cNvSpPr txBox="1"/>
      </xdr:nvSpPr>
      <xdr:spPr>
        <a:xfrm>
          <a:off x="457200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600</xdr:row>
      <xdr:rowOff>0</xdr:rowOff>
    </xdr:from>
    <xdr:to>
      <xdr:col>5</xdr:col>
      <xdr:colOff>304800</xdr:colOff>
      <xdr:row>606</xdr:row>
      <xdr:rowOff>95250</xdr:rowOff>
    </xdr:to>
    <xdr:sp macro="" textlink="">
      <xdr:nvSpPr>
        <xdr:cNvPr id="784" name="TextBox 783"/>
        <xdr:cNvSpPr txBox="1"/>
      </xdr:nvSpPr>
      <xdr:spPr>
        <a:xfrm>
          <a:off x="2133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600</xdr:row>
      <xdr:rowOff>0</xdr:rowOff>
    </xdr:from>
    <xdr:to>
      <xdr:col>12</xdr:col>
      <xdr:colOff>304800</xdr:colOff>
      <xdr:row>606</xdr:row>
      <xdr:rowOff>95250</xdr:rowOff>
    </xdr:to>
    <xdr:sp macro="" textlink="">
      <xdr:nvSpPr>
        <xdr:cNvPr id="785" name="TextBox 784"/>
        <xdr:cNvSpPr txBox="1"/>
      </xdr:nvSpPr>
      <xdr:spPr>
        <a:xfrm>
          <a:off x="6705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630</xdr:row>
      <xdr:rowOff>0</xdr:rowOff>
    </xdr:from>
    <xdr:to>
      <xdr:col>2</xdr:col>
      <xdr:colOff>114300</xdr:colOff>
      <xdr:row>635</xdr:row>
      <xdr:rowOff>95250</xdr:rowOff>
    </xdr:to>
    <xdr:sp macro="" textlink="">
      <xdr:nvSpPr>
        <xdr:cNvPr id="786" name="TextBox 785"/>
        <xdr:cNvSpPr txBox="1"/>
      </xdr:nvSpPr>
      <xdr:spPr>
        <a:xfrm>
          <a:off x="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630</xdr:row>
      <xdr:rowOff>0</xdr:rowOff>
    </xdr:from>
    <xdr:to>
      <xdr:col>9</xdr:col>
      <xdr:colOff>114300</xdr:colOff>
      <xdr:row>635</xdr:row>
      <xdr:rowOff>95250</xdr:rowOff>
    </xdr:to>
    <xdr:sp macro="" textlink="">
      <xdr:nvSpPr>
        <xdr:cNvPr id="787" name="TextBox 786"/>
        <xdr:cNvSpPr txBox="1"/>
      </xdr:nvSpPr>
      <xdr:spPr>
        <a:xfrm>
          <a:off x="457200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630</xdr:row>
      <xdr:rowOff>0</xdr:rowOff>
    </xdr:from>
    <xdr:to>
      <xdr:col>5</xdr:col>
      <xdr:colOff>304800</xdr:colOff>
      <xdr:row>636</xdr:row>
      <xdr:rowOff>95250</xdr:rowOff>
    </xdr:to>
    <xdr:sp macro="" textlink="">
      <xdr:nvSpPr>
        <xdr:cNvPr id="788" name="TextBox 787"/>
        <xdr:cNvSpPr txBox="1"/>
      </xdr:nvSpPr>
      <xdr:spPr>
        <a:xfrm>
          <a:off x="2133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630</xdr:row>
      <xdr:rowOff>0</xdr:rowOff>
    </xdr:from>
    <xdr:to>
      <xdr:col>12</xdr:col>
      <xdr:colOff>304800</xdr:colOff>
      <xdr:row>636</xdr:row>
      <xdr:rowOff>95250</xdr:rowOff>
    </xdr:to>
    <xdr:sp macro="" textlink="">
      <xdr:nvSpPr>
        <xdr:cNvPr id="789" name="TextBox 788"/>
        <xdr:cNvSpPr txBox="1"/>
      </xdr:nvSpPr>
      <xdr:spPr>
        <a:xfrm>
          <a:off x="6705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660</xdr:row>
      <xdr:rowOff>0</xdr:rowOff>
    </xdr:from>
    <xdr:to>
      <xdr:col>2</xdr:col>
      <xdr:colOff>114300</xdr:colOff>
      <xdr:row>665</xdr:row>
      <xdr:rowOff>95250</xdr:rowOff>
    </xdr:to>
    <xdr:sp macro="" textlink="">
      <xdr:nvSpPr>
        <xdr:cNvPr id="790" name="TextBox 789"/>
        <xdr:cNvSpPr txBox="1"/>
      </xdr:nvSpPr>
      <xdr:spPr>
        <a:xfrm>
          <a:off x="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660</xdr:row>
      <xdr:rowOff>0</xdr:rowOff>
    </xdr:from>
    <xdr:to>
      <xdr:col>9</xdr:col>
      <xdr:colOff>114300</xdr:colOff>
      <xdr:row>665</xdr:row>
      <xdr:rowOff>95250</xdr:rowOff>
    </xdr:to>
    <xdr:sp macro="" textlink="">
      <xdr:nvSpPr>
        <xdr:cNvPr id="791" name="TextBox 790"/>
        <xdr:cNvSpPr txBox="1"/>
      </xdr:nvSpPr>
      <xdr:spPr>
        <a:xfrm>
          <a:off x="457200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660</xdr:row>
      <xdr:rowOff>0</xdr:rowOff>
    </xdr:from>
    <xdr:to>
      <xdr:col>5</xdr:col>
      <xdr:colOff>304800</xdr:colOff>
      <xdr:row>666</xdr:row>
      <xdr:rowOff>95250</xdr:rowOff>
    </xdr:to>
    <xdr:sp macro="" textlink="">
      <xdr:nvSpPr>
        <xdr:cNvPr id="792" name="TextBox 791"/>
        <xdr:cNvSpPr txBox="1"/>
      </xdr:nvSpPr>
      <xdr:spPr>
        <a:xfrm>
          <a:off x="2133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660</xdr:row>
      <xdr:rowOff>0</xdr:rowOff>
    </xdr:from>
    <xdr:to>
      <xdr:col>12</xdr:col>
      <xdr:colOff>304800</xdr:colOff>
      <xdr:row>666</xdr:row>
      <xdr:rowOff>95250</xdr:rowOff>
    </xdr:to>
    <xdr:sp macro="" textlink="">
      <xdr:nvSpPr>
        <xdr:cNvPr id="793" name="TextBox 792"/>
        <xdr:cNvSpPr txBox="1"/>
      </xdr:nvSpPr>
      <xdr:spPr>
        <a:xfrm>
          <a:off x="6705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690</xdr:row>
      <xdr:rowOff>0</xdr:rowOff>
    </xdr:from>
    <xdr:to>
      <xdr:col>2</xdr:col>
      <xdr:colOff>114300</xdr:colOff>
      <xdr:row>695</xdr:row>
      <xdr:rowOff>95250</xdr:rowOff>
    </xdr:to>
    <xdr:sp macro="" textlink="">
      <xdr:nvSpPr>
        <xdr:cNvPr id="794" name="TextBox 793"/>
        <xdr:cNvSpPr txBox="1"/>
      </xdr:nvSpPr>
      <xdr:spPr>
        <a:xfrm>
          <a:off x="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9</xdr:col>
      <xdr:colOff>114300</xdr:colOff>
      <xdr:row>695</xdr:row>
      <xdr:rowOff>95250</xdr:rowOff>
    </xdr:to>
    <xdr:sp macro="" textlink="">
      <xdr:nvSpPr>
        <xdr:cNvPr id="795" name="TextBox 794"/>
        <xdr:cNvSpPr txBox="1"/>
      </xdr:nvSpPr>
      <xdr:spPr>
        <a:xfrm>
          <a:off x="457200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690</xdr:row>
      <xdr:rowOff>0</xdr:rowOff>
    </xdr:from>
    <xdr:to>
      <xdr:col>5</xdr:col>
      <xdr:colOff>304800</xdr:colOff>
      <xdr:row>696</xdr:row>
      <xdr:rowOff>95250</xdr:rowOff>
    </xdr:to>
    <xdr:sp macro="" textlink="">
      <xdr:nvSpPr>
        <xdr:cNvPr id="796" name="TextBox 795"/>
        <xdr:cNvSpPr txBox="1"/>
      </xdr:nvSpPr>
      <xdr:spPr>
        <a:xfrm>
          <a:off x="2133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690</xdr:row>
      <xdr:rowOff>0</xdr:rowOff>
    </xdr:from>
    <xdr:to>
      <xdr:col>12</xdr:col>
      <xdr:colOff>304800</xdr:colOff>
      <xdr:row>696</xdr:row>
      <xdr:rowOff>95250</xdr:rowOff>
    </xdr:to>
    <xdr:sp macro="" textlink="">
      <xdr:nvSpPr>
        <xdr:cNvPr id="797" name="TextBox 796"/>
        <xdr:cNvSpPr txBox="1"/>
      </xdr:nvSpPr>
      <xdr:spPr>
        <a:xfrm>
          <a:off x="6705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720</xdr:row>
      <xdr:rowOff>0</xdr:rowOff>
    </xdr:from>
    <xdr:to>
      <xdr:col>2</xdr:col>
      <xdr:colOff>114300</xdr:colOff>
      <xdr:row>725</xdr:row>
      <xdr:rowOff>95250</xdr:rowOff>
    </xdr:to>
    <xdr:sp macro="" textlink="">
      <xdr:nvSpPr>
        <xdr:cNvPr id="798" name="TextBox 797"/>
        <xdr:cNvSpPr txBox="1"/>
      </xdr:nvSpPr>
      <xdr:spPr>
        <a:xfrm>
          <a:off x="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720</xdr:row>
      <xdr:rowOff>0</xdr:rowOff>
    </xdr:from>
    <xdr:to>
      <xdr:col>9</xdr:col>
      <xdr:colOff>114300</xdr:colOff>
      <xdr:row>725</xdr:row>
      <xdr:rowOff>95250</xdr:rowOff>
    </xdr:to>
    <xdr:sp macro="" textlink="">
      <xdr:nvSpPr>
        <xdr:cNvPr id="799" name="TextBox 798"/>
        <xdr:cNvSpPr txBox="1"/>
      </xdr:nvSpPr>
      <xdr:spPr>
        <a:xfrm>
          <a:off x="457200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720</xdr:row>
      <xdr:rowOff>0</xdr:rowOff>
    </xdr:from>
    <xdr:to>
      <xdr:col>5</xdr:col>
      <xdr:colOff>304800</xdr:colOff>
      <xdr:row>726</xdr:row>
      <xdr:rowOff>95250</xdr:rowOff>
    </xdr:to>
    <xdr:sp macro="" textlink="">
      <xdr:nvSpPr>
        <xdr:cNvPr id="800" name="TextBox 799"/>
        <xdr:cNvSpPr txBox="1"/>
      </xdr:nvSpPr>
      <xdr:spPr>
        <a:xfrm>
          <a:off x="2133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720</xdr:row>
      <xdr:rowOff>0</xdr:rowOff>
    </xdr:from>
    <xdr:to>
      <xdr:col>12</xdr:col>
      <xdr:colOff>304800</xdr:colOff>
      <xdr:row>726</xdr:row>
      <xdr:rowOff>95250</xdr:rowOff>
    </xdr:to>
    <xdr:sp macro="" textlink="">
      <xdr:nvSpPr>
        <xdr:cNvPr id="801" name="TextBox 800"/>
        <xdr:cNvSpPr txBox="1"/>
      </xdr:nvSpPr>
      <xdr:spPr>
        <a:xfrm>
          <a:off x="6705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750</xdr:row>
      <xdr:rowOff>0</xdr:rowOff>
    </xdr:from>
    <xdr:to>
      <xdr:col>2</xdr:col>
      <xdr:colOff>114300</xdr:colOff>
      <xdr:row>755</xdr:row>
      <xdr:rowOff>95250</xdr:rowOff>
    </xdr:to>
    <xdr:sp macro="" textlink="">
      <xdr:nvSpPr>
        <xdr:cNvPr id="802" name="TextBox 801"/>
        <xdr:cNvSpPr txBox="1"/>
      </xdr:nvSpPr>
      <xdr:spPr>
        <a:xfrm>
          <a:off x="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750</xdr:row>
      <xdr:rowOff>0</xdr:rowOff>
    </xdr:from>
    <xdr:to>
      <xdr:col>9</xdr:col>
      <xdr:colOff>114300</xdr:colOff>
      <xdr:row>755</xdr:row>
      <xdr:rowOff>95250</xdr:rowOff>
    </xdr:to>
    <xdr:sp macro="" textlink="">
      <xdr:nvSpPr>
        <xdr:cNvPr id="803" name="TextBox 802"/>
        <xdr:cNvSpPr txBox="1"/>
      </xdr:nvSpPr>
      <xdr:spPr>
        <a:xfrm>
          <a:off x="457200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750</xdr:row>
      <xdr:rowOff>0</xdr:rowOff>
    </xdr:from>
    <xdr:to>
      <xdr:col>5</xdr:col>
      <xdr:colOff>304800</xdr:colOff>
      <xdr:row>756</xdr:row>
      <xdr:rowOff>95250</xdr:rowOff>
    </xdr:to>
    <xdr:sp macro="" textlink="">
      <xdr:nvSpPr>
        <xdr:cNvPr id="804" name="TextBox 803"/>
        <xdr:cNvSpPr txBox="1"/>
      </xdr:nvSpPr>
      <xdr:spPr>
        <a:xfrm>
          <a:off x="2133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750</xdr:row>
      <xdr:rowOff>0</xdr:rowOff>
    </xdr:from>
    <xdr:to>
      <xdr:col>12</xdr:col>
      <xdr:colOff>304800</xdr:colOff>
      <xdr:row>756</xdr:row>
      <xdr:rowOff>95250</xdr:rowOff>
    </xdr:to>
    <xdr:sp macro="" textlink="">
      <xdr:nvSpPr>
        <xdr:cNvPr id="805" name="TextBox 804"/>
        <xdr:cNvSpPr txBox="1"/>
      </xdr:nvSpPr>
      <xdr:spPr>
        <a:xfrm>
          <a:off x="6705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780</xdr:row>
      <xdr:rowOff>0</xdr:rowOff>
    </xdr:from>
    <xdr:to>
      <xdr:col>2</xdr:col>
      <xdr:colOff>114300</xdr:colOff>
      <xdr:row>785</xdr:row>
      <xdr:rowOff>95250</xdr:rowOff>
    </xdr:to>
    <xdr:sp macro="" textlink="">
      <xdr:nvSpPr>
        <xdr:cNvPr id="806" name="TextBox 805"/>
        <xdr:cNvSpPr txBox="1"/>
      </xdr:nvSpPr>
      <xdr:spPr>
        <a:xfrm>
          <a:off x="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780</xdr:row>
      <xdr:rowOff>0</xdr:rowOff>
    </xdr:from>
    <xdr:to>
      <xdr:col>9</xdr:col>
      <xdr:colOff>114300</xdr:colOff>
      <xdr:row>785</xdr:row>
      <xdr:rowOff>95250</xdr:rowOff>
    </xdr:to>
    <xdr:sp macro="" textlink="">
      <xdr:nvSpPr>
        <xdr:cNvPr id="807" name="TextBox 806"/>
        <xdr:cNvSpPr txBox="1"/>
      </xdr:nvSpPr>
      <xdr:spPr>
        <a:xfrm>
          <a:off x="457200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780</xdr:row>
      <xdr:rowOff>0</xdr:rowOff>
    </xdr:from>
    <xdr:to>
      <xdr:col>5</xdr:col>
      <xdr:colOff>304800</xdr:colOff>
      <xdr:row>786</xdr:row>
      <xdr:rowOff>95250</xdr:rowOff>
    </xdr:to>
    <xdr:sp macro="" textlink="">
      <xdr:nvSpPr>
        <xdr:cNvPr id="808" name="TextBox 807"/>
        <xdr:cNvSpPr txBox="1"/>
      </xdr:nvSpPr>
      <xdr:spPr>
        <a:xfrm>
          <a:off x="2133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780</xdr:row>
      <xdr:rowOff>0</xdr:rowOff>
    </xdr:from>
    <xdr:to>
      <xdr:col>12</xdr:col>
      <xdr:colOff>304800</xdr:colOff>
      <xdr:row>786</xdr:row>
      <xdr:rowOff>95250</xdr:rowOff>
    </xdr:to>
    <xdr:sp macro="" textlink="">
      <xdr:nvSpPr>
        <xdr:cNvPr id="809" name="TextBox 808"/>
        <xdr:cNvSpPr txBox="1"/>
      </xdr:nvSpPr>
      <xdr:spPr>
        <a:xfrm>
          <a:off x="6705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810</xdr:row>
      <xdr:rowOff>0</xdr:rowOff>
    </xdr:from>
    <xdr:to>
      <xdr:col>2</xdr:col>
      <xdr:colOff>114300</xdr:colOff>
      <xdr:row>815</xdr:row>
      <xdr:rowOff>95250</xdr:rowOff>
    </xdr:to>
    <xdr:sp macro="" textlink="">
      <xdr:nvSpPr>
        <xdr:cNvPr id="810" name="TextBox 809"/>
        <xdr:cNvSpPr txBox="1"/>
      </xdr:nvSpPr>
      <xdr:spPr>
        <a:xfrm>
          <a:off x="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810</xdr:row>
      <xdr:rowOff>0</xdr:rowOff>
    </xdr:from>
    <xdr:to>
      <xdr:col>9</xdr:col>
      <xdr:colOff>114300</xdr:colOff>
      <xdr:row>815</xdr:row>
      <xdr:rowOff>95250</xdr:rowOff>
    </xdr:to>
    <xdr:sp macro="" textlink="">
      <xdr:nvSpPr>
        <xdr:cNvPr id="811" name="TextBox 810"/>
        <xdr:cNvSpPr txBox="1"/>
      </xdr:nvSpPr>
      <xdr:spPr>
        <a:xfrm>
          <a:off x="457200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810</xdr:row>
      <xdr:rowOff>0</xdr:rowOff>
    </xdr:from>
    <xdr:to>
      <xdr:col>5</xdr:col>
      <xdr:colOff>304800</xdr:colOff>
      <xdr:row>816</xdr:row>
      <xdr:rowOff>95250</xdr:rowOff>
    </xdr:to>
    <xdr:sp macro="" textlink="">
      <xdr:nvSpPr>
        <xdr:cNvPr id="812" name="TextBox 811"/>
        <xdr:cNvSpPr txBox="1"/>
      </xdr:nvSpPr>
      <xdr:spPr>
        <a:xfrm>
          <a:off x="2133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810</xdr:row>
      <xdr:rowOff>0</xdr:rowOff>
    </xdr:from>
    <xdr:to>
      <xdr:col>12</xdr:col>
      <xdr:colOff>304800</xdr:colOff>
      <xdr:row>816</xdr:row>
      <xdr:rowOff>95250</xdr:rowOff>
    </xdr:to>
    <xdr:sp macro="" textlink="">
      <xdr:nvSpPr>
        <xdr:cNvPr id="813" name="TextBox 812"/>
        <xdr:cNvSpPr txBox="1"/>
      </xdr:nvSpPr>
      <xdr:spPr>
        <a:xfrm>
          <a:off x="6705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840</xdr:row>
      <xdr:rowOff>0</xdr:rowOff>
    </xdr:from>
    <xdr:to>
      <xdr:col>2</xdr:col>
      <xdr:colOff>114300</xdr:colOff>
      <xdr:row>845</xdr:row>
      <xdr:rowOff>95250</xdr:rowOff>
    </xdr:to>
    <xdr:sp macro="" textlink="">
      <xdr:nvSpPr>
        <xdr:cNvPr id="814" name="TextBox 813"/>
        <xdr:cNvSpPr txBox="1"/>
      </xdr:nvSpPr>
      <xdr:spPr>
        <a:xfrm>
          <a:off x="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9</xdr:col>
      <xdr:colOff>114300</xdr:colOff>
      <xdr:row>845</xdr:row>
      <xdr:rowOff>95250</xdr:rowOff>
    </xdr:to>
    <xdr:sp macro="" textlink="">
      <xdr:nvSpPr>
        <xdr:cNvPr id="815" name="TextBox 814"/>
        <xdr:cNvSpPr txBox="1"/>
      </xdr:nvSpPr>
      <xdr:spPr>
        <a:xfrm>
          <a:off x="457200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840</xdr:row>
      <xdr:rowOff>0</xdr:rowOff>
    </xdr:from>
    <xdr:to>
      <xdr:col>5</xdr:col>
      <xdr:colOff>304800</xdr:colOff>
      <xdr:row>846</xdr:row>
      <xdr:rowOff>95250</xdr:rowOff>
    </xdr:to>
    <xdr:sp macro="" textlink="">
      <xdr:nvSpPr>
        <xdr:cNvPr id="816" name="TextBox 815"/>
        <xdr:cNvSpPr txBox="1"/>
      </xdr:nvSpPr>
      <xdr:spPr>
        <a:xfrm>
          <a:off x="2133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840</xdr:row>
      <xdr:rowOff>0</xdr:rowOff>
    </xdr:from>
    <xdr:to>
      <xdr:col>12</xdr:col>
      <xdr:colOff>304800</xdr:colOff>
      <xdr:row>846</xdr:row>
      <xdr:rowOff>95250</xdr:rowOff>
    </xdr:to>
    <xdr:sp macro="" textlink="">
      <xdr:nvSpPr>
        <xdr:cNvPr id="817" name="TextBox 816"/>
        <xdr:cNvSpPr txBox="1"/>
      </xdr:nvSpPr>
      <xdr:spPr>
        <a:xfrm>
          <a:off x="6705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870</xdr:row>
      <xdr:rowOff>0</xdr:rowOff>
    </xdr:from>
    <xdr:to>
      <xdr:col>2</xdr:col>
      <xdr:colOff>114300</xdr:colOff>
      <xdr:row>875</xdr:row>
      <xdr:rowOff>95250</xdr:rowOff>
    </xdr:to>
    <xdr:sp macro="" textlink="">
      <xdr:nvSpPr>
        <xdr:cNvPr id="818" name="TextBox 817"/>
        <xdr:cNvSpPr txBox="1"/>
      </xdr:nvSpPr>
      <xdr:spPr>
        <a:xfrm>
          <a:off x="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870</xdr:row>
      <xdr:rowOff>0</xdr:rowOff>
    </xdr:from>
    <xdr:to>
      <xdr:col>9</xdr:col>
      <xdr:colOff>114300</xdr:colOff>
      <xdr:row>875</xdr:row>
      <xdr:rowOff>95250</xdr:rowOff>
    </xdr:to>
    <xdr:sp macro="" textlink="">
      <xdr:nvSpPr>
        <xdr:cNvPr id="819" name="TextBox 818"/>
        <xdr:cNvSpPr txBox="1"/>
      </xdr:nvSpPr>
      <xdr:spPr>
        <a:xfrm>
          <a:off x="457200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870</xdr:row>
      <xdr:rowOff>0</xdr:rowOff>
    </xdr:from>
    <xdr:to>
      <xdr:col>5</xdr:col>
      <xdr:colOff>304800</xdr:colOff>
      <xdr:row>876</xdr:row>
      <xdr:rowOff>95250</xdr:rowOff>
    </xdr:to>
    <xdr:sp macro="" textlink="">
      <xdr:nvSpPr>
        <xdr:cNvPr id="820" name="TextBox 819"/>
        <xdr:cNvSpPr txBox="1"/>
      </xdr:nvSpPr>
      <xdr:spPr>
        <a:xfrm>
          <a:off x="2133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870</xdr:row>
      <xdr:rowOff>0</xdr:rowOff>
    </xdr:from>
    <xdr:to>
      <xdr:col>12</xdr:col>
      <xdr:colOff>304800</xdr:colOff>
      <xdr:row>876</xdr:row>
      <xdr:rowOff>95250</xdr:rowOff>
    </xdr:to>
    <xdr:sp macro="" textlink="">
      <xdr:nvSpPr>
        <xdr:cNvPr id="821" name="TextBox 820"/>
        <xdr:cNvSpPr txBox="1"/>
      </xdr:nvSpPr>
      <xdr:spPr>
        <a:xfrm>
          <a:off x="6705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900</xdr:row>
      <xdr:rowOff>0</xdr:rowOff>
    </xdr:from>
    <xdr:to>
      <xdr:col>2</xdr:col>
      <xdr:colOff>114300</xdr:colOff>
      <xdr:row>905</xdr:row>
      <xdr:rowOff>95250</xdr:rowOff>
    </xdr:to>
    <xdr:sp macro="" textlink="">
      <xdr:nvSpPr>
        <xdr:cNvPr id="822" name="TextBox 821"/>
        <xdr:cNvSpPr txBox="1"/>
      </xdr:nvSpPr>
      <xdr:spPr>
        <a:xfrm>
          <a:off x="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900</xdr:row>
      <xdr:rowOff>0</xdr:rowOff>
    </xdr:from>
    <xdr:to>
      <xdr:col>9</xdr:col>
      <xdr:colOff>114300</xdr:colOff>
      <xdr:row>905</xdr:row>
      <xdr:rowOff>95250</xdr:rowOff>
    </xdr:to>
    <xdr:sp macro="" textlink="">
      <xdr:nvSpPr>
        <xdr:cNvPr id="823" name="TextBox 822"/>
        <xdr:cNvSpPr txBox="1"/>
      </xdr:nvSpPr>
      <xdr:spPr>
        <a:xfrm>
          <a:off x="457200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900</xdr:row>
      <xdr:rowOff>0</xdr:rowOff>
    </xdr:from>
    <xdr:to>
      <xdr:col>5</xdr:col>
      <xdr:colOff>304800</xdr:colOff>
      <xdr:row>906</xdr:row>
      <xdr:rowOff>95250</xdr:rowOff>
    </xdr:to>
    <xdr:sp macro="" textlink="">
      <xdr:nvSpPr>
        <xdr:cNvPr id="824" name="TextBox 823"/>
        <xdr:cNvSpPr txBox="1"/>
      </xdr:nvSpPr>
      <xdr:spPr>
        <a:xfrm>
          <a:off x="2133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900</xdr:row>
      <xdr:rowOff>0</xdr:rowOff>
    </xdr:from>
    <xdr:to>
      <xdr:col>12</xdr:col>
      <xdr:colOff>304800</xdr:colOff>
      <xdr:row>906</xdr:row>
      <xdr:rowOff>95250</xdr:rowOff>
    </xdr:to>
    <xdr:sp macro="" textlink="">
      <xdr:nvSpPr>
        <xdr:cNvPr id="825" name="TextBox 824"/>
        <xdr:cNvSpPr txBox="1"/>
      </xdr:nvSpPr>
      <xdr:spPr>
        <a:xfrm>
          <a:off x="6705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930</xdr:row>
      <xdr:rowOff>0</xdr:rowOff>
    </xdr:from>
    <xdr:to>
      <xdr:col>2</xdr:col>
      <xdr:colOff>114300</xdr:colOff>
      <xdr:row>935</xdr:row>
      <xdr:rowOff>95250</xdr:rowOff>
    </xdr:to>
    <xdr:sp macro="" textlink="">
      <xdr:nvSpPr>
        <xdr:cNvPr id="826" name="TextBox 825"/>
        <xdr:cNvSpPr txBox="1"/>
      </xdr:nvSpPr>
      <xdr:spPr>
        <a:xfrm>
          <a:off x="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930</xdr:row>
      <xdr:rowOff>0</xdr:rowOff>
    </xdr:from>
    <xdr:to>
      <xdr:col>9</xdr:col>
      <xdr:colOff>114300</xdr:colOff>
      <xdr:row>935</xdr:row>
      <xdr:rowOff>95250</xdr:rowOff>
    </xdr:to>
    <xdr:sp macro="" textlink="">
      <xdr:nvSpPr>
        <xdr:cNvPr id="827" name="TextBox 826"/>
        <xdr:cNvSpPr txBox="1"/>
      </xdr:nvSpPr>
      <xdr:spPr>
        <a:xfrm>
          <a:off x="457200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930</xdr:row>
      <xdr:rowOff>0</xdr:rowOff>
    </xdr:from>
    <xdr:to>
      <xdr:col>5</xdr:col>
      <xdr:colOff>304800</xdr:colOff>
      <xdr:row>936</xdr:row>
      <xdr:rowOff>95250</xdr:rowOff>
    </xdr:to>
    <xdr:sp macro="" textlink="">
      <xdr:nvSpPr>
        <xdr:cNvPr id="828" name="TextBox 827"/>
        <xdr:cNvSpPr txBox="1"/>
      </xdr:nvSpPr>
      <xdr:spPr>
        <a:xfrm>
          <a:off x="2133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930</xdr:row>
      <xdr:rowOff>0</xdr:rowOff>
    </xdr:from>
    <xdr:to>
      <xdr:col>12</xdr:col>
      <xdr:colOff>304800</xdr:colOff>
      <xdr:row>936</xdr:row>
      <xdr:rowOff>95250</xdr:rowOff>
    </xdr:to>
    <xdr:sp macro="" textlink="">
      <xdr:nvSpPr>
        <xdr:cNvPr id="829" name="TextBox 828"/>
        <xdr:cNvSpPr txBox="1"/>
      </xdr:nvSpPr>
      <xdr:spPr>
        <a:xfrm>
          <a:off x="6705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960</xdr:row>
      <xdr:rowOff>0</xdr:rowOff>
    </xdr:from>
    <xdr:to>
      <xdr:col>2</xdr:col>
      <xdr:colOff>114300</xdr:colOff>
      <xdr:row>965</xdr:row>
      <xdr:rowOff>95250</xdr:rowOff>
    </xdr:to>
    <xdr:sp macro="" textlink="">
      <xdr:nvSpPr>
        <xdr:cNvPr id="830" name="TextBox 829"/>
        <xdr:cNvSpPr txBox="1"/>
      </xdr:nvSpPr>
      <xdr:spPr>
        <a:xfrm>
          <a:off x="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960</xdr:row>
      <xdr:rowOff>0</xdr:rowOff>
    </xdr:from>
    <xdr:to>
      <xdr:col>9</xdr:col>
      <xdr:colOff>114300</xdr:colOff>
      <xdr:row>965</xdr:row>
      <xdr:rowOff>95250</xdr:rowOff>
    </xdr:to>
    <xdr:sp macro="" textlink="">
      <xdr:nvSpPr>
        <xdr:cNvPr id="831" name="TextBox 830"/>
        <xdr:cNvSpPr txBox="1"/>
      </xdr:nvSpPr>
      <xdr:spPr>
        <a:xfrm>
          <a:off x="457200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960</xdr:row>
      <xdr:rowOff>0</xdr:rowOff>
    </xdr:from>
    <xdr:to>
      <xdr:col>5</xdr:col>
      <xdr:colOff>304800</xdr:colOff>
      <xdr:row>966</xdr:row>
      <xdr:rowOff>95250</xdr:rowOff>
    </xdr:to>
    <xdr:sp macro="" textlink="">
      <xdr:nvSpPr>
        <xdr:cNvPr id="832" name="TextBox 831"/>
        <xdr:cNvSpPr txBox="1"/>
      </xdr:nvSpPr>
      <xdr:spPr>
        <a:xfrm>
          <a:off x="2133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960</xdr:row>
      <xdr:rowOff>0</xdr:rowOff>
    </xdr:from>
    <xdr:to>
      <xdr:col>12</xdr:col>
      <xdr:colOff>304800</xdr:colOff>
      <xdr:row>966</xdr:row>
      <xdr:rowOff>95250</xdr:rowOff>
    </xdr:to>
    <xdr:sp macro="" textlink="">
      <xdr:nvSpPr>
        <xdr:cNvPr id="833" name="TextBox 832"/>
        <xdr:cNvSpPr txBox="1"/>
      </xdr:nvSpPr>
      <xdr:spPr>
        <a:xfrm>
          <a:off x="6705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990</xdr:row>
      <xdr:rowOff>0</xdr:rowOff>
    </xdr:from>
    <xdr:to>
      <xdr:col>2</xdr:col>
      <xdr:colOff>114300</xdr:colOff>
      <xdr:row>995</xdr:row>
      <xdr:rowOff>95250</xdr:rowOff>
    </xdr:to>
    <xdr:sp macro="" textlink="">
      <xdr:nvSpPr>
        <xdr:cNvPr id="834" name="TextBox 833"/>
        <xdr:cNvSpPr txBox="1"/>
      </xdr:nvSpPr>
      <xdr:spPr>
        <a:xfrm>
          <a:off x="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990</xdr:row>
      <xdr:rowOff>0</xdr:rowOff>
    </xdr:from>
    <xdr:to>
      <xdr:col>9</xdr:col>
      <xdr:colOff>114300</xdr:colOff>
      <xdr:row>995</xdr:row>
      <xdr:rowOff>95250</xdr:rowOff>
    </xdr:to>
    <xdr:sp macro="" textlink="">
      <xdr:nvSpPr>
        <xdr:cNvPr id="835" name="TextBox 834"/>
        <xdr:cNvSpPr txBox="1"/>
      </xdr:nvSpPr>
      <xdr:spPr>
        <a:xfrm>
          <a:off x="457200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990</xdr:row>
      <xdr:rowOff>0</xdr:rowOff>
    </xdr:from>
    <xdr:to>
      <xdr:col>5</xdr:col>
      <xdr:colOff>304800</xdr:colOff>
      <xdr:row>996</xdr:row>
      <xdr:rowOff>95250</xdr:rowOff>
    </xdr:to>
    <xdr:sp macro="" textlink="">
      <xdr:nvSpPr>
        <xdr:cNvPr id="836" name="TextBox 835"/>
        <xdr:cNvSpPr txBox="1"/>
      </xdr:nvSpPr>
      <xdr:spPr>
        <a:xfrm>
          <a:off x="2133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990</xdr:row>
      <xdr:rowOff>0</xdr:rowOff>
    </xdr:from>
    <xdr:to>
      <xdr:col>12</xdr:col>
      <xdr:colOff>304800</xdr:colOff>
      <xdr:row>996</xdr:row>
      <xdr:rowOff>95250</xdr:rowOff>
    </xdr:to>
    <xdr:sp macro="" textlink="">
      <xdr:nvSpPr>
        <xdr:cNvPr id="837" name="TextBox 836"/>
        <xdr:cNvSpPr txBox="1"/>
      </xdr:nvSpPr>
      <xdr:spPr>
        <a:xfrm>
          <a:off x="6705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1020</xdr:row>
      <xdr:rowOff>0</xdr:rowOff>
    </xdr:from>
    <xdr:to>
      <xdr:col>2</xdr:col>
      <xdr:colOff>114300</xdr:colOff>
      <xdr:row>1025</xdr:row>
      <xdr:rowOff>95250</xdr:rowOff>
    </xdr:to>
    <xdr:sp macro="" textlink="">
      <xdr:nvSpPr>
        <xdr:cNvPr id="838" name="TextBox 837"/>
        <xdr:cNvSpPr txBox="1"/>
      </xdr:nvSpPr>
      <xdr:spPr>
        <a:xfrm>
          <a:off x="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1020</xdr:row>
      <xdr:rowOff>0</xdr:rowOff>
    </xdr:from>
    <xdr:to>
      <xdr:col>9</xdr:col>
      <xdr:colOff>114300</xdr:colOff>
      <xdr:row>1025</xdr:row>
      <xdr:rowOff>95250</xdr:rowOff>
    </xdr:to>
    <xdr:sp macro="" textlink="">
      <xdr:nvSpPr>
        <xdr:cNvPr id="839" name="TextBox 838"/>
        <xdr:cNvSpPr txBox="1"/>
      </xdr:nvSpPr>
      <xdr:spPr>
        <a:xfrm>
          <a:off x="457200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5</xdr:col>
      <xdr:colOff>304800</xdr:colOff>
      <xdr:row>1026</xdr:row>
      <xdr:rowOff>95250</xdr:rowOff>
    </xdr:to>
    <xdr:sp macro="" textlink="">
      <xdr:nvSpPr>
        <xdr:cNvPr id="840" name="TextBox 839"/>
        <xdr:cNvSpPr txBox="1"/>
      </xdr:nvSpPr>
      <xdr:spPr>
        <a:xfrm>
          <a:off x="2133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1020</xdr:row>
      <xdr:rowOff>0</xdr:rowOff>
    </xdr:from>
    <xdr:to>
      <xdr:col>12</xdr:col>
      <xdr:colOff>304800</xdr:colOff>
      <xdr:row>1026</xdr:row>
      <xdr:rowOff>95250</xdr:rowOff>
    </xdr:to>
    <xdr:sp macro="" textlink="">
      <xdr:nvSpPr>
        <xdr:cNvPr id="841" name="TextBox 840"/>
        <xdr:cNvSpPr txBox="1"/>
      </xdr:nvSpPr>
      <xdr:spPr>
        <a:xfrm>
          <a:off x="6705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1050</xdr:row>
      <xdr:rowOff>0</xdr:rowOff>
    </xdr:from>
    <xdr:to>
      <xdr:col>2</xdr:col>
      <xdr:colOff>114300</xdr:colOff>
      <xdr:row>1055</xdr:row>
      <xdr:rowOff>95250</xdr:rowOff>
    </xdr:to>
    <xdr:sp macro="" textlink="">
      <xdr:nvSpPr>
        <xdr:cNvPr id="842" name="TextBox 841"/>
        <xdr:cNvSpPr txBox="1"/>
      </xdr:nvSpPr>
      <xdr:spPr>
        <a:xfrm>
          <a:off x="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1050</xdr:row>
      <xdr:rowOff>0</xdr:rowOff>
    </xdr:from>
    <xdr:to>
      <xdr:col>9</xdr:col>
      <xdr:colOff>114300</xdr:colOff>
      <xdr:row>1055</xdr:row>
      <xdr:rowOff>95250</xdr:rowOff>
    </xdr:to>
    <xdr:sp macro="" textlink="">
      <xdr:nvSpPr>
        <xdr:cNvPr id="843" name="TextBox 842"/>
        <xdr:cNvSpPr txBox="1"/>
      </xdr:nvSpPr>
      <xdr:spPr>
        <a:xfrm>
          <a:off x="457200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1050</xdr:row>
      <xdr:rowOff>0</xdr:rowOff>
    </xdr:from>
    <xdr:to>
      <xdr:col>5</xdr:col>
      <xdr:colOff>304800</xdr:colOff>
      <xdr:row>1056</xdr:row>
      <xdr:rowOff>95250</xdr:rowOff>
    </xdr:to>
    <xdr:sp macro="" textlink="">
      <xdr:nvSpPr>
        <xdr:cNvPr id="844" name="TextBox 843"/>
        <xdr:cNvSpPr txBox="1"/>
      </xdr:nvSpPr>
      <xdr:spPr>
        <a:xfrm>
          <a:off x="2133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1050</xdr:row>
      <xdr:rowOff>0</xdr:rowOff>
    </xdr:from>
    <xdr:to>
      <xdr:col>12</xdr:col>
      <xdr:colOff>304800</xdr:colOff>
      <xdr:row>1056</xdr:row>
      <xdr:rowOff>95250</xdr:rowOff>
    </xdr:to>
    <xdr:sp macro="" textlink="">
      <xdr:nvSpPr>
        <xdr:cNvPr id="845" name="TextBox 844"/>
        <xdr:cNvSpPr txBox="1"/>
      </xdr:nvSpPr>
      <xdr:spPr>
        <a:xfrm>
          <a:off x="6705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1080</xdr:row>
      <xdr:rowOff>0</xdr:rowOff>
    </xdr:from>
    <xdr:to>
      <xdr:col>2</xdr:col>
      <xdr:colOff>114300</xdr:colOff>
      <xdr:row>1085</xdr:row>
      <xdr:rowOff>95250</xdr:rowOff>
    </xdr:to>
    <xdr:sp macro="" textlink="">
      <xdr:nvSpPr>
        <xdr:cNvPr id="846" name="TextBox 845"/>
        <xdr:cNvSpPr txBox="1"/>
      </xdr:nvSpPr>
      <xdr:spPr>
        <a:xfrm>
          <a:off x="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1080</xdr:row>
      <xdr:rowOff>0</xdr:rowOff>
    </xdr:from>
    <xdr:to>
      <xdr:col>9</xdr:col>
      <xdr:colOff>114300</xdr:colOff>
      <xdr:row>1085</xdr:row>
      <xdr:rowOff>95250</xdr:rowOff>
    </xdr:to>
    <xdr:sp macro="" textlink="">
      <xdr:nvSpPr>
        <xdr:cNvPr id="847" name="TextBox 846"/>
        <xdr:cNvSpPr txBox="1"/>
      </xdr:nvSpPr>
      <xdr:spPr>
        <a:xfrm>
          <a:off x="457200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1080</xdr:row>
      <xdr:rowOff>0</xdr:rowOff>
    </xdr:from>
    <xdr:to>
      <xdr:col>5</xdr:col>
      <xdr:colOff>304800</xdr:colOff>
      <xdr:row>1086</xdr:row>
      <xdr:rowOff>95250</xdr:rowOff>
    </xdr:to>
    <xdr:sp macro="" textlink="">
      <xdr:nvSpPr>
        <xdr:cNvPr id="848" name="TextBox 847"/>
        <xdr:cNvSpPr txBox="1"/>
      </xdr:nvSpPr>
      <xdr:spPr>
        <a:xfrm>
          <a:off x="2133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1080</xdr:row>
      <xdr:rowOff>0</xdr:rowOff>
    </xdr:from>
    <xdr:to>
      <xdr:col>12</xdr:col>
      <xdr:colOff>304800</xdr:colOff>
      <xdr:row>1086</xdr:row>
      <xdr:rowOff>95250</xdr:rowOff>
    </xdr:to>
    <xdr:sp macro="" textlink="">
      <xdr:nvSpPr>
        <xdr:cNvPr id="849" name="TextBox 848"/>
        <xdr:cNvSpPr txBox="1"/>
      </xdr:nvSpPr>
      <xdr:spPr>
        <a:xfrm>
          <a:off x="6705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1110</xdr:row>
      <xdr:rowOff>0</xdr:rowOff>
    </xdr:from>
    <xdr:to>
      <xdr:col>2</xdr:col>
      <xdr:colOff>114300</xdr:colOff>
      <xdr:row>1115</xdr:row>
      <xdr:rowOff>95250</xdr:rowOff>
    </xdr:to>
    <xdr:sp macro="" textlink="">
      <xdr:nvSpPr>
        <xdr:cNvPr id="850" name="TextBox 849"/>
        <xdr:cNvSpPr txBox="1"/>
      </xdr:nvSpPr>
      <xdr:spPr>
        <a:xfrm>
          <a:off x="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1110</xdr:row>
      <xdr:rowOff>0</xdr:rowOff>
    </xdr:from>
    <xdr:to>
      <xdr:col>9</xdr:col>
      <xdr:colOff>114300</xdr:colOff>
      <xdr:row>1115</xdr:row>
      <xdr:rowOff>95250</xdr:rowOff>
    </xdr:to>
    <xdr:sp macro="" textlink="">
      <xdr:nvSpPr>
        <xdr:cNvPr id="851" name="TextBox 850"/>
        <xdr:cNvSpPr txBox="1"/>
      </xdr:nvSpPr>
      <xdr:spPr>
        <a:xfrm>
          <a:off x="457200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1110</xdr:row>
      <xdr:rowOff>0</xdr:rowOff>
    </xdr:from>
    <xdr:to>
      <xdr:col>5</xdr:col>
      <xdr:colOff>304800</xdr:colOff>
      <xdr:row>1116</xdr:row>
      <xdr:rowOff>95250</xdr:rowOff>
    </xdr:to>
    <xdr:sp macro="" textlink="">
      <xdr:nvSpPr>
        <xdr:cNvPr id="852" name="TextBox 851"/>
        <xdr:cNvSpPr txBox="1"/>
      </xdr:nvSpPr>
      <xdr:spPr>
        <a:xfrm>
          <a:off x="2133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1110</xdr:row>
      <xdr:rowOff>0</xdr:rowOff>
    </xdr:from>
    <xdr:to>
      <xdr:col>12</xdr:col>
      <xdr:colOff>304800</xdr:colOff>
      <xdr:row>1116</xdr:row>
      <xdr:rowOff>95250</xdr:rowOff>
    </xdr:to>
    <xdr:sp macro="" textlink="">
      <xdr:nvSpPr>
        <xdr:cNvPr id="853" name="TextBox 852"/>
        <xdr:cNvSpPr txBox="1"/>
      </xdr:nvSpPr>
      <xdr:spPr>
        <a:xfrm>
          <a:off x="6705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1140</xdr:row>
      <xdr:rowOff>0</xdr:rowOff>
    </xdr:from>
    <xdr:to>
      <xdr:col>2</xdr:col>
      <xdr:colOff>114300</xdr:colOff>
      <xdr:row>1145</xdr:row>
      <xdr:rowOff>95250</xdr:rowOff>
    </xdr:to>
    <xdr:sp macro="" textlink="">
      <xdr:nvSpPr>
        <xdr:cNvPr id="854" name="TextBox 853"/>
        <xdr:cNvSpPr txBox="1"/>
      </xdr:nvSpPr>
      <xdr:spPr>
        <a:xfrm>
          <a:off x="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1140</xdr:row>
      <xdr:rowOff>0</xdr:rowOff>
    </xdr:from>
    <xdr:to>
      <xdr:col>9</xdr:col>
      <xdr:colOff>114300</xdr:colOff>
      <xdr:row>1145</xdr:row>
      <xdr:rowOff>95250</xdr:rowOff>
    </xdr:to>
    <xdr:sp macro="" textlink="">
      <xdr:nvSpPr>
        <xdr:cNvPr id="855" name="TextBox 854"/>
        <xdr:cNvSpPr txBox="1"/>
      </xdr:nvSpPr>
      <xdr:spPr>
        <a:xfrm>
          <a:off x="457200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1140</xdr:row>
      <xdr:rowOff>0</xdr:rowOff>
    </xdr:from>
    <xdr:to>
      <xdr:col>5</xdr:col>
      <xdr:colOff>304800</xdr:colOff>
      <xdr:row>1146</xdr:row>
      <xdr:rowOff>95250</xdr:rowOff>
    </xdr:to>
    <xdr:sp macro="" textlink="">
      <xdr:nvSpPr>
        <xdr:cNvPr id="856" name="TextBox 855"/>
        <xdr:cNvSpPr txBox="1"/>
      </xdr:nvSpPr>
      <xdr:spPr>
        <a:xfrm>
          <a:off x="2133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1140</xdr:row>
      <xdr:rowOff>0</xdr:rowOff>
    </xdr:from>
    <xdr:to>
      <xdr:col>12</xdr:col>
      <xdr:colOff>304800</xdr:colOff>
      <xdr:row>1146</xdr:row>
      <xdr:rowOff>95250</xdr:rowOff>
    </xdr:to>
    <xdr:sp macro="" textlink="">
      <xdr:nvSpPr>
        <xdr:cNvPr id="857" name="TextBox 856"/>
        <xdr:cNvSpPr txBox="1"/>
      </xdr:nvSpPr>
      <xdr:spPr>
        <a:xfrm>
          <a:off x="6705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1170</xdr:row>
      <xdr:rowOff>0</xdr:rowOff>
    </xdr:from>
    <xdr:to>
      <xdr:col>2</xdr:col>
      <xdr:colOff>114300</xdr:colOff>
      <xdr:row>1175</xdr:row>
      <xdr:rowOff>95250</xdr:rowOff>
    </xdr:to>
    <xdr:sp macro="" textlink="">
      <xdr:nvSpPr>
        <xdr:cNvPr id="858" name="TextBox 857"/>
        <xdr:cNvSpPr txBox="1"/>
      </xdr:nvSpPr>
      <xdr:spPr>
        <a:xfrm>
          <a:off x="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1170</xdr:row>
      <xdr:rowOff>0</xdr:rowOff>
    </xdr:from>
    <xdr:to>
      <xdr:col>9</xdr:col>
      <xdr:colOff>114300</xdr:colOff>
      <xdr:row>1175</xdr:row>
      <xdr:rowOff>95250</xdr:rowOff>
    </xdr:to>
    <xdr:sp macro="" textlink="">
      <xdr:nvSpPr>
        <xdr:cNvPr id="859" name="TextBox 858"/>
        <xdr:cNvSpPr txBox="1"/>
      </xdr:nvSpPr>
      <xdr:spPr>
        <a:xfrm>
          <a:off x="457200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1170</xdr:row>
      <xdr:rowOff>0</xdr:rowOff>
    </xdr:from>
    <xdr:to>
      <xdr:col>5</xdr:col>
      <xdr:colOff>304800</xdr:colOff>
      <xdr:row>1176</xdr:row>
      <xdr:rowOff>95250</xdr:rowOff>
    </xdr:to>
    <xdr:sp macro="" textlink="">
      <xdr:nvSpPr>
        <xdr:cNvPr id="860" name="TextBox 859"/>
        <xdr:cNvSpPr txBox="1"/>
      </xdr:nvSpPr>
      <xdr:spPr>
        <a:xfrm>
          <a:off x="2133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1170</xdr:row>
      <xdr:rowOff>0</xdr:rowOff>
    </xdr:from>
    <xdr:to>
      <xdr:col>12</xdr:col>
      <xdr:colOff>304800</xdr:colOff>
      <xdr:row>1176</xdr:row>
      <xdr:rowOff>95250</xdr:rowOff>
    </xdr:to>
    <xdr:sp macro="" textlink="">
      <xdr:nvSpPr>
        <xdr:cNvPr id="861" name="TextBox 860"/>
        <xdr:cNvSpPr txBox="1"/>
      </xdr:nvSpPr>
      <xdr:spPr>
        <a:xfrm>
          <a:off x="6705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1200</xdr:row>
      <xdr:rowOff>0</xdr:rowOff>
    </xdr:from>
    <xdr:to>
      <xdr:col>2</xdr:col>
      <xdr:colOff>114300</xdr:colOff>
      <xdr:row>1205</xdr:row>
      <xdr:rowOff>95250</xdr:rowOff>
    </xdr:to>
    <xdr:sp macro="" textlink="">
      <xdr:nvSpPr>
        <xdr:cNvPr id="862" name="TextBox 861"/>
        <xdr:cNvSpPr txBox="1"/>
      </xdr:nvSpPr>
      <xdr:spPr>
        <a:xfrm>
          <a:off x="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1200</xdr:row>
      <xdr:rowOff>0</xdr:rowOff>
    </xdr:from>
    <xdr:to>
      <xdr:col>9</xdr:col>
      <xdr:colOff>114300</xdr:colOff>
      <xdr:row>1205</xdr:row>
      <xdr:rowOff>95250</xdr:rowOff>
    </xdr:to>
    <xdr:sp macro="" textlink="">
      <xdr:nvSpPr>
        <xdr:cNvPr id="863" name="TextBox 862"/>
        <xdr:cNvSpPr txBox="1"/>
      </xdr:nvSpPr>
      <xdr:spPr>
        <a:xfrm>
          <a:off x="457200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1200</xdr:row>
      <xdr:rowOff>0</xdr:rowOff>
    </xdr:from>
    <xdr:to>
      <xdr:col>5</xdr:col>
      <xdr:colOff>304800</xdr:colOff>
      <xdr:row>1206</xdr:row>
      <xdr:rowOff>95250</xdr:rowOff>
    </xdr:to>
    <xdr:sp macro="" textlink="">
      <xdr:nvSpPr>
        <xdr:cNvPr id="864" name="TextBox 863"/>
        <xdr:cNvSpPr txBox="1"/>
      </xdr:nvSpPr>
      <xdr:spPr>
        <a:xfrm>
          <a:off x="2133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1200</xdr:row>
      <xdr:rowOff>0</xdr:rowOff>
    </xdr:from>
    <xdr:to>
      <xdr:col>12</xdr:col>
      <xdr:colOff>304800</xdr:colOff>
      <xdr:row>1206</xdr:row>
      <xdr:rowOff>95250</xdr:rowOff>
    </xdr:to>
    <xdr:sp macro="" textlink="">
      <xdr:nvSpPr>
        <xdr:cNvPr id="865" name="TextBox 864"/>
        <xdr:cNvSpPr txBox="1"/>
      </xdr:nvSpPr>
      <xdr:spPr>
        <a:xfrm>
          <a:off x="6705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1230</xdr:row>
      <xdr:rowOff>0</xdr:rowOff>
    </xdr:from>
    <xdr:to>
      <xdr:col>2</xdr:col>
      <xdr:colOff>114300</xdr:colOff>
      <xdr:row>1235</xdr:row>
      <xdr:rowOff>95250</xdr:rowOff>
    </xdr:to>
    <xdr:sp macro="" textlink="">
      <xdr:nvSpPr>
        <xdr:cNvPr id="866" name="TextBox 865"/>
        <xdr:cNvSpPr txBox="1"/>
      </xdr:nvSpPr>
      <xdr:spPr>
        <a:xfrm>
          <a:off x="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1230</xdr:row>
      <xdr:rowOff>0</xdr:rowOff>
    </xdr:from>
    <xdr:to>
      <xdr:col>9</xdr:col>
      <xdr:colOff>114300</xdr:colOff>
      <xdr:row>1235</xdr:row>
      <xdr:rowOff>95250</xdr:rowOff>
    </xdr:to>
    <xdr:sp macro="" textlink="">
      <xdr:nvSpPr>
        <xdr:cNvPr id="867" name="TextBox 866"/>
        <xdr:cNvSpPr txBox="1"/>
      </xdr:nvSpPr>
      <xdr:spPr>
        <a:xfrm>
          <a:off x="457200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1230</xdr:row>
      <xdr:rowOff>0</xdr:rowOff>
    </xdr:from>
    <xdr:to>
      <xdr:col>5</xdr:col>
      <xdr:colOff>304800</xdr:colOff>
      <xdr:row>1236</xdr:row>
      <xdr:rowOff>95250</xdr:rowOff>
    </xdr:to>
    <xdr:sp macro="" textlink="">
      <xdr:nvSpPr>
        <xdr:cNvPr id="868" name="TextBox 867"/>
        <xdr:cNvSpPr txBox="1"/>
      </xdr:nvSpPr>
      <xdr:spPr>
        <a:xfrm>
          <a:off x="2133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1230</xdr:row>
      <xdr:rowOff>0</xdr:rowOff>
    </xdr:from>
    <xdr:to>
      <xdr:col>12</xdr:col>
      <xdr:colOff>304800</xdr:colOff>
      <xdr:row>1236</xdr:row>
      <xdr:rowOff>95250</xdr:rowOff>
    </xdr:to>
    <xdr:sp macro="" textlink="">
      <xdr:nvSpPr>
        <xdr:cNvPr id="869" name="TextBox 868"/>
        <xdr:cNvSpPr txBox="1"/>
      </xdr:nvSpPr>
      <xdr:spPr>
        <a:xfrm>
          <a:off x="6705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1260</xdr:row>
      <xdr:rowOff>0</xdr:rowOff>
    </xdr:from>
    <xdr:to>
      <xdr:col>2</xdr:col>
      <xdr:colOff>114300</xdr:colOff>
      <xdr:row>1265</xdr:row>
      <xdr:rowOff>95250</xdr:rowOff>
    </xdr:to>
    <xdr:sp macro="" textlink="">
      <xdr:nvSpPr>
        <xdr:cNvPr id="870" name="TextBox 869"/>
        <xdr:cNvSpPr txBox="1"/>
      </xdr:nvSpPr>
      <xdr:spPr>
        <a:xfrm>
          <a:off x="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1260</xdr:row>
      <xdr:rowOff>0</xdr:rowOff>
    </xdr:from>
    <xdr:to>
      <xdr:col>9</xdr:col>
      <xdr:colOff>114300</xdr:colOff>
      <xdr:row>1265</xdr:row>
      <xdr:rowOff>95250</xdr:rowOff>
    </xdr:to>
    <xdr:sp macro="" textlink="">
      <xdr:nvSpPr>
        <xdr:cNvPr id="871" name="TextBox 870"/>
        <xdr:cNvSpPr txBox="1"/>
      </xdr:nvSpPr>
      <xdr:spPr>
        <a:xfrm>
          <a:off x="457200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1260</xdr:row>
      <xdr:rowOff>0</xdr:rowOff>
    </xdr:from>
    <xdr:to>
      <xdr:col>5</xdr:col>
      <xdr:colOff>304800</xdr:colOff>
      <xdr:row>1266</xdr:row>
      <xdr:rowOff>95250</xdr:rowOff>
    </xdr:to>
    <xdr:sp macro="" textlink="">
      <xdr:nvSpPr>
        <xdr:cNvPr id="872" name="TextBox 871"/>
        <xdr:cNvSpPr txBox="1"/>
      </xdr:nvSpPr>
      <xdr:spPr>
        <a:xfrm>
          <a:off x="2133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1260</xdr:row>
      <xdr:rowOff>0</xdr:rowOff>
    </xdr:from>
    <xdr:to>
      <xdr:col>12</xdr:col>
      <xdr:colOff>304800</xdr:colOff>
      <xdr:row>1266</xdr:row>
      <xdr:rowOff>95250</xdr:rowOff>
    </xdr:to>
    <xdr:sp macro="" textlink="">
      <xdr:nvSpPr>
        <xdr:cNvPr id="873" name="TextBox 872"/>
        <xdr:cNvSpPr txBox="1"/>
      </xdr:nvSpPr>
      <xdr:spPr>
        <a:xfrm>
          <a:off x="6705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1290</xdr:row>
      <xdr:rowOff>0</xdr:rowOff>
    </xdr:from>
    <xdr:to>
      <xdr:col>2</xdr:col>
      <xdr:colOff>114300</xdr:colOff>
      <xdr:row>1295</xdr:row>
      <xdr:rowOff>95250</xdr:rowOff>
    </xdr:to>
    <xdr:sp macro="" textlink="">
      <xdr:nvSpPr>
        <xdr:cNvPr id="874" name="TextBox 873"/>
        <xdr:cNvSpPr txBox="1"/>
      </xdr:nvSpPr>
      <xdr:spPr>
        <a:xfrm>
          <a:off x="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1290</xdr:row>
      <xdr:rowOff>0</xdr:rowOff>
    </xdr:from>
    <xdr:to>
      <xdr:col>9</xdr:col>
      <xdr:colOff>114300</xdr:colOff>
      <xdr:row>1295</xdr:row>
      <xdr:rowOff>95250</xdr:rowOff>
    </xdr:to>
    <xdr:sp macro="" textlink="">
      <xdr:nvSpPr>
        <xdr:cNvPr id="875" name="TextBox 874"/>
        <xdr:cNvSpPr txBox="1"/>
      </xdr:nvSpPr>
      <xdr:spPr>
        <a:xfrm>
          <a:off x="457200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1290</xdr:row>
      <xdr:rowOff>0</xdr:rowOff>
    </xdr:from>
    <xdr:to>
      <xdr:col>5</xdr:col>
      <xdr:colOff>304800</xdr:colOff>
      <xdr:row>1296</xdr:row>
      <xdr:rowOff>95250</xdr:rowOff>
    </xdr:to>
    <xdr:sp macro="" textlink="">
      <xdr:nvSpPr>
        <xdr:cNvPr id="876" name="TextBox 875"/>
        <xdr:cNvSpPr txBox="1"/>
      </xdr:nvSpPr>
      <xdr:spPr>
        <a:xfrm>
          <a:off x="2133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1290</xdr:row>
      <xdr:rowOff>0</xdr:rowOff>
    </xdr:from>
    <xdr:to>
      <xdr:col>12</xdr:col>
      <xdr:colOff>304800</xdr:colOff>
      <xdr:row>1296</xdr:row>
      <xdr:rowOff>95250</xdr:rowOff>
    </xdr:to>
    <xdr:sp macro="" textlink="">
      <xdr:nvSpPr>
        <xdr:cNvPr id="877" name="TextBox 876"/>
        <xdr:cNvSpPr txBox="1"/>
      </xdr:nvSpPr>
      <xdr:spPr>
        <a:xfrm>
          <a:off x="6705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1320</xdr:row>
      <xdr:rowOff>0</xdr:rowOff>
    </xdr:from>
    <xdr:to>
      <xdr:col>2</xdr:col>
      <xdr:colOff>114300</xdr:colOff>
      <xdr:row>1325</xdr:row>
      <xdr:rowOff>95250</xdr:rowOff>
    </xdr:to>
    <xdr:sp macro="" textlink="">
      <xdr:nvSpPr>
        <xdr:cNvPr id="878" name="TextBox 877"/>
        <xdr:cNvSpPr txBox="1"/>
      </xdr:nvSpPr>
      <xdr:spPr>
        <a:xfrm>
          <a:off x="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1320</xdr:row>
      <xdr:rowOff>0</xdr:rowOff>
    </xdr:from>
    <xdr:to>
      <xdr:col>9</xdr:col>
      <xdr:colOff>114300</xdr:colOff>
      <xdr:row>1325</xdr:row>
      <xdr:rowOff>95250</xdr:rowOff>
    </xdr:to>
    <xdr:sp macro="" textlink="">
      <xdr:nvSpPr>
        <xdr:cNvPr id="879" name="TextBox 878"/>
        <xdr:cNvSpPr txBox="1"/>
      </xdr:nvSpPr>
      <xdr:spPr>
        <a:xfrm>
          <a:off x="457200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1320</xdr:row>
      <xdr:rowOff>0</xdr:rowOff>
    </xdr:from>
    <xdr:to>
      <xdr:col>5</xdr:col>
      <xdr:colOff>304800</xdr:colOff>
      <xdr:row>1326</xdr:row>
      <xdr:rowOff>95250</xdr:rowOff>
    </xdr:to>
    <xdr:sp macro="" textlink="">
      <xdr:nvSpPr>
        <xdr:cNvPr id="880" name="TextBox 879"/>
        <xdr:cNvSpPr txBox="1"/>
      </xdr:nvSpPr>
      <xdr:spPr>
        <a:xfrm>
          <a:off x="2133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1320</xdr:row>
      <xdr:rowOff>0</xdr:rowOff>
    </xdr:from>
    <xdr:to>
      <xdr:col>12</xdr:col>
      <xdr:colOff>304800</xdr:colOff>
      <xdr:row>1326</xdr:row>
      <xdr:rowOff>95250</xdr:rowOff>
    </xdr:to>
    <xdr:sp macro="" textlink="">
      <xdr:nvSpPr>
        <xdr:cNvPr id="881" name="TextBox 880"/>
        <xdr:cNvSpPr txBox="1"/>
      </xdr:nvSpPr>
      <xdr:spPr>
        <a:xfrm>
          <a:off x="6705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1350</xdr:row>
      <xdr:rowOff>0</xdr:rowOff>
    </xdr:from>
    <xdr:to>
      <xdr:col>2</xdr:col>
      <xdr:colOff>114300</xdr:colOff>
      <xdr:row>1355</xdr:row>
      <xdr:rowOff>95250</xdr:rowOff>
    </xdr:to>
    <xdr:sp macro="" textlink="">
      <xdr:nvSpPr>
        <xdr:cNvPr id="882" name="TextBox 881"/>
        <xdr:cNvSpPr txBox="1"/>
      </xdr:nvSpPr>
      <xdr:spPr>
        <a:xfrm>
          <a:off x="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1350</xdr:row>
      <xdr:rowOff>0</xdr:rowOff>
    </xdr:from>
    <xdr:to>
      <xdr:col>9</xdr:col>
      <xdr:colOff>114300</xdr:colOff>
      <xdr:row>1355</xdr:row>
      <xdr:rowOff>95250</xdr:rowOff>
    </xdr:to>
    <xdr:sp macro="" textlink="">
      <xdr:nvSpPr>
        <xdr:cNvPr id="883" name="TextBox 882"/>
        <xdr:cNvSpPr txBox="1"/>
      </xdr:nvSpPr>
      <xdr:spPr>
        <a:xfrm>
          <a:off x="457200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1350</xdr:row>
      <xdr:rowOff>0</xdr:rowOff>
    </xdr:from>
    <xdr:to>
      <xdr:col>5</xdr:col>
      <xdr:colOff>304800</xdr:colOff>
      <xdr:row>1356</xdr:row>
      <xdr:rowOff>95250</xdr:rowOff>
    </xdr:to>
    <xdr:sp macro="" textlink="">
      <xdr:nvSpPr>
        <xdr:cNvPr id="884" name="TextBox 883"/>
        <xdr:cNvSpPr txBox="1"/>
      </xdr:nvSpPr>
      <xdr:spPr>
        <a:xfrm>
          <a:off x="2133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1350</xdr:row>
      <xdr:rowOff>0</xdr:rowOff>
    </xdr:from>
    <xdr:to>
      <xdr:col>12</xdr:col>
      <xdr:colOff>304800</xdr:colOff>
      <xdr:row>1356</xdr:row>
      <xdr:rowOff>95250</xdr:rowOff>
    </xdr:to>
    <xdr:sp macro="" textlink="">
      <xdr:nvSpPr>
        <xdr:cNvPr id="885" name="TextBox 884"/>
        <xdr:cNvSpPr txBox="1"/>
      </xdr:nvSpPr>
      <xdr:spPr>
        <a:xfrm>
          <a:off x="6705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1380</xdr:row>
      <xdr:rowOff>0</xdr:rowOff>
    </xdr:from>
    <xdr:to>
      <xdr:col>2</xdr:col>
      <xdr:colOff>114300</xdr:colOff>
      <xdr:row>1385</xdr:row>
      <xdr:rowOff>95250</xdr:rowOff>
    </xdr:to>
    <xdr:sp macro="" textlink="">
      <xdr:nvSpPr>
        <xdr:cNvPr id="886" name="TextBox 885"/>
        <xdr:cNvSpPr txBox="1"/>
      </xdr:nvSpPr>
      <xdr:spPr>
        <a:xfrm>
          <a:off x="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1380</xdr:row>
      <xdr:rowOff>0</xdr:rowOff>
    </xdr:from>
    <xdr:to>
      <xdr:col>9</xdr:col>
      <xdr:colOff>114300</xdr:colOff>
      <xdr:row>1385</xdr:row>
      <xdr:rowOff>95250</xdr:rowOff>
    </xdr:to>
    <xdr:sp macro="" textlink="">
      <xdr:nvSpPr>
        <xdr:cNvPr id="887" name="TextBox 886"/>
        <xdr:cNvSpPr txBox="1"/>
      </xdr:nvSpPr>
      <xdr:spPr>
        <a:xfrm>
          <a:off x="457200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1380</xdr:row>
      <xdr:rowOff>0</xdr:rowOff>
    </xdr:from>
    <xdr:to>
      <xdr:col>5</xdr:col>
      <xdr:colOff>304800</xdr:colOff>
      <xdr:row>1386</xdr:row>
      <xdr:rowOff>95250</xdr:rowOff>
    </xdr:to>
    <xdr:sp macro="" textlink="">
      <xdr:nvSpPr>
        <xdr:cNvPr id="888" name="TextBox 887"/>
        <xdr:cNvSpPr txBox="1"/>
      </xdr:nvSpPr>
      <xdr:spPr>
        <a:xfrm>
          <a:off x="2133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1380</xdr:row>
      <xdr:rowOff>0</xdr:rowOff>
    </xdr:from>
    <xdr:to>
      <xdr:col>12</xdr:col>
      <xdr:colOff>304800</xdr:colOff>
      <xdr:row>1386</xdr:row>
      <xdr:rowOff>95250</xdr:rowOff>
    </xdr:to>
    <xdr:sp macro="" textlink="">
      <xdr:nvSpPr>
        <xdr:cNvPr id="889" name="TextBox 888"/>
        <xdr:cNvSpPr txBox="1"/>
      </xdr:nvSpPr>
      <xdr:spPr>
        <a:xfrm>
          <a:off x="6705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1410</xdr:row>
      <xdr:rowOff>0</xdr:rowOff>
    </xdr:from>
    <xdr:to>
      <xdr:col>2</xdr:col>
      <xdr:colOff>114300</xdr:colOff>
      <xdr:row>1415</xdr:row>
      <xdr:rowOff>95250</xdr:rowOff>
    </xdr:to>
    <xdr:sp macro="" textlink="">
      <xdr:nvSpPr>
        <xdr:cNvPr id="890" name="TextBox 889"/>
        <xdr:cNvSpPr txBox="1"/>
      </xdr:nvSpPr>
      <xdr:spPr>
        <a:xfrm>
          <a:off x="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1410</xdr:row>
      <xdr:rowOff>0</xdr:rowOff>
    </xdr:from>
    <xdr:to>
      <xdr:col>9</xdr:col>
      <xdr:colOff>114300</xdr:colOff>
      <xdr:row>1415</xdr:row>
      <xdr:rowOff>95250</xdr:rowOff>
    </xdr:to>
    <xdr:sp macro="" textlink="">
      <xdr:nvSpPr>
        <xdr:cNvPr id="891" name="TextBox 890"/>
        <xdr:cNvSpPr txBox="1"/>
      </xdr:nvSpPr>
      <xdr:spPr>
        <a:xfrm>
          <a:off x="457200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1410</xdr:row>
      <xdr:rowOff>0</xdr:rowOff>
    </xdr:from>
    <xdr:to>
      <xdr:col>5</xdr:col>
      <xdr:colOff>304800</xdr:colOff>
      <xdr:row>1416</xdr:row>
      <xdr:rowOff>95250</xdr:rowOff>
    </xdr:to>
    <xdr:sp macro="" textlink="">
      <xdr:nvSpPr>
        <xdr:cNvPr id="892" name="TextBox 891"/>
        <xdr:cNvSpPr txBox="1"/>
      </xdr:nvSpPr>
      <xdr:spPr>
        <a:xfrm>
          <a:off x="2133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1410</xdr:row>
      <xdr:rowOff>0</xdr:rowOff>
    </xdr:from>
    <xdr:to>
      <xdr:col>12</xdr:col>
      <xdr:colOff>304800</xdr:colOff>
      <xdr:row>1416</xdr:row>
      <xdr:rowOff>95250</xdr:rowOff>
    </xdr:to>
    <xdr:sp macro="" textlink="">
      <xdr:nvSpPr>
        <xdr:cNvPr id="893" name="TextBox 892"/>
        <xdr:cNvSpPr txBox="1"/>
      </xdr:nvSpPr>
      <xdr:spPr>
        <a:xfrm>
          <a:off x="6705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1440</xdr:row>
      <xdr:rowOff>0</xdr:rowOff>
    </xdr:from>
    <xdr:to>
      <xdr:col>2</xdr:col>
      <xdr:colOff>114300</xdr:colOff>
      <xdr:row>1445</xdr:row>
      <xdr:rowOff>95250</xdr:rowOff>
    </xdr:to>
    <xdr:sp macro="" textlink="">
      <xdr:nvSpPr>
        <xdr:cNvPr id="894" name="TextBox 893"/>
        <xdr:cNvSpPr txBox="1"/>
      </xdr:nvSpPr>
      <xdr:spPr>
        <a:xfrm>
          <a:off x="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1440</xdr:row>
      <xdr:rowOff>0</xdr:rowOff>
    </xdr:from>
    <xdr:to>
      <xdr:col>9</xdr:col>
      <xdr:colOff>114300</xdr:colOff>
      <xdr:row>1445</xdr:row>
      <xdr:rowOff>95250</xdr:rowOff>
    </xdr:to>
    <xdr:sp macro="" textlink="">
      <xdr:nvSpPr>
        <xdr:cNvPr id="895" name="TextBox 894"/>
        <xdr:cNvSpPr txBox="1"/>
      </xdr:nvSpPr>
      <xdr:spPr>
        <a:xfrm>
          <a:off x="457200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1440</xdr:row>
      <xdr:rowOff>0</xdr:rowOff>
    </xdr:from>
    <xdr:to>
      <xdr:col>5</xdr:col>
      <xdr:colOff>304800</xdr:colOff>
      <xdr:row>1446</xdr:row>
      <xdr:rowOff>95250</xdr:rowOff>
    </xdr:to>
    <xdr:sp macro="" textlink="">
      <xdr:nvSpPr>
        <xdr:cNvPr id="896" name="TextBox 895"/>
        <xdr:cNvSpPr txBox="1"/>
      </xdr:nvSpPr>
      <xdr:spPr>
        <a:xfrm>
          <a:off x="2133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1440</xdr:row>
      <xdr:rowOff>0</xdr:rowOff>
    </xdr:from>
    <xdr:to>
      <xdr:col>12</xdr:col>
      <xdr:colOff>304800</xdr:colOff>
      <xdr:row>1446</xdr:row>
      <xdr:rowOff>95250</xdr:rowOff>
    </xdr:to>
    <xdr:sp macro="" textlink="">
      <xdr:nvSpPr>
        <xdr:cNvPr id="897" name="TextBox 896"/>
        <xdr:cNvSpPr txBox="1"/>
      </xdr:nvSpPr>
      <xdr:spPr>
        <a:xfrm>
          <a:off x="6705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1470</xdr:row>
      <xdr:rowOff>0</xdr:rowOff>
    </xdr:from>
    <xdr:to>
      <xdr:col>2</xdr:col>
      <xdr:colOff>114300</xdr:colOff>
      <xdr:row>1475</xdr:row>
      <xdr:rowOff>95250</xdr:rowOff>
    </xdr:to>
    <xdr:sp macro="" textlink="">
      <xdr:nvSpPr>
        <xdr:cNvPr id="898" name="TextBox 897"/>
        <xdr:cNvSpPr txBox="1"/>
      </xdr:nvSpPr>
      <xdr:spPr>
        <a:xfrm>
          <a:off x="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1470</xdr:row>
      <xdr:rowOff>0</xdr:rowOff>
    </xdr:from>
    <xdr:to>
      <xdr:col>9</xdr:col>
      <xdr:colOff>114300</xdr:colOff>
      <xdr:row>1475</xdr:row>
      <xdr:rowOff>95250</xdr:rowOff>
    </xdr:to>
    <xdr:sp macro="" textlink="">
      <xdr:nvSpPr>
        <xdr:cNvPr id="899" name="TextBox 898"/>
        <xdr:cNvSpPr txBox="1"/>
      </xdr:nvSpPr>
      <xdr:spPr>
        <a:xfrm>
          <a:off x="457200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1470</xdr:row>
      <xdr:rowOff>0</xdr:rowOff>
    </xdr:from>
    <xdr:to>
      <xdr:col>5</xdr:col>
      <xdr:colOff>304800</xdr:colOff>
      <xdr:row>1476</xdr:row>
      <xdr:rowOff>95250</xdr:rowOff>
    </xdr:to>
    <xdr:sp macro="" textlink="">
      <xdr:nvSpPr>
        <xdr:cNvPr id="900" name="TextBox 899"/>
        <xdr:cNvSpPr txBox="1"/>
      </xdr:nvSpPr>
      <xdr:spPr>
        <a:xfrm>
          <a:off x="2133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1470</xdr:row>
      <xdr:rowOff>0</xdr:rowOff>
    </xdr:from>
    <xdr:to>
      <xdr:col>12</xdr:col>
      <xdr:colOff>304800</xdr:colOff>
      <xdr:row>1476</xdr:row>
      <xdr:rowOff>95250</xdr:rowOff>
    </xdr:to>
    <xdr:sp macro="" textlink="">
      <xdr:nvSpPr>
        <xdr:cNvPr id="901" name="TextBox 900"/>
        <xdr:cNvSpPr txBox="1"/>
      </xdr:nvSpPr>
      <xdr:spPr>
        <a:xfrm>
          <a:off x="6705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114300</xdr:colOff>
      <xdr:row>5</xdr:row>
      <xdr:rowOff>95250</xdr:rowOff>
    </xdr:to>
    <xdr:sp macro="" textlink="">
      <xdr:nvSpPr>
        <xdr:cNvPr id="902" name="TextBox 901"/>
        <xdr:cNvSpPr txBox="1"/>
      </xdr:nvSpPr>
      <xdr:spPr>
        <a:xfrm>
          <a:off x="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9</xdr:col>
      <xdr:colOff>114300</xdr:colOff>
      <xdr:row>5</xdr:row>
      <xdr:rowOff>95250</xdr:rowOff>
    </xdr:to>
    <xdr:sp macro="" textlink="">
      <xdr:nvSpPr>
        <xdr:cNvPr id="903" name="TextBox 902"/>
        <xdr:cNvSpPr txBox="1"/>
      </xdr:nvSpPr>
      <xdr:spPr>
        <a:xfrm>
          <a:off x="457200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5</xdr:col>
      <xdr:colOff>304800</xdr:colOff>
      <xdr:row>6</xdr:row>
      <xdr:rowOff>95250</xdr:rowOff>
    </xdr:to>
    <xdr:sp macro="" textlink="">
      <xdr:nvSpPr>
        <xdr:cNvPr id="904" name="TextBox 903"/>
        <xdr:cNvSpPr txBox="1"/>
      </xdr:nvSpPr>
      <xdr:spPr>
        <a:xfrm>
          <a:off x="2133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905" name="TextBox 904"/>
        <xdr:cNvSpPr txBox="1"/>
      </xdr:nvSpPr>
      <xdr:spPr>
        <a:xfrm>
          <a:off x="6705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114300</xdr:colOff>
      <xdr:row>35</xdr:row>
      <xdr:rowOff>95250</xdr:rowOff>
    </xdr:to>
    <xdr:sp macro="" textlink="">
      <xdr:nvSpPr>
        <xdr:cNvPr id="906" name="TextBox 905"/>
        <xdr:cNvSpPr txBox="1"/>
      </xdr:nvSpPr>
      <xdr:spPr>
        <a:xfrm>
          <a:off x="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114300</xdr:colOff>
      <xdr:row>35</xdr:row>
      <xdr:rowOff>95250</xdr:rowOff>
    </xdr:to>
    <xdr:sp macro="" textlink="">
      <xdr:nvSpPr>
        <xdr:cNvPr id="907" name="TextBox 906"/>
        <xdr:cNvSpPr txBox="1"/>
      </xdr:nvSpPr>
      <xdr:spPr>
        <a:xfrm>
          <a:off x="457200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5</xdr:col>
      <xdr:colOff>304800</xdr:colOff>
      <xdr:row>36</xdr:row>
      <xdr:rowOff>95250</xdr:rowOff>
    </xdr:to>
    <xdr:sp macro="" textlink="">
      <xdr:nvSpPr>
        <xdr:cNvPr id="908" name="TextBox 907"/>
        <xdr:cNvSpPr txBox="1"/>
      </xdr:nvSpPr>
      <xdr:spPr>
        <a:xfrm>
          <a:off x="2133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304800</xdr:colOff>
      <xdr:row>36</xdr:row>
      <xdr:rowOff>95250</xdr:rowOff>
    </xdr:to>
    <xdr:sp macro="" textlink="">
      <xdr:nvSpPr>
        <xdr:cNvPr id="909" name="TextBox 908"/>
        <xdr:cNvSpPr txBox="1"/>
      </xdr:nvSpPr>
      <xdr:spPr>
        <a:xfrm>
          <a:off x="6705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114300</xdr:colOff>
      <xdr:row>65</xdr:row>
      <xdr:rowOff>95250</xdr:rowOff>
    </xdr:to>
    <xdr:sp macro="" textlink="">
      <xdr:nvSpPr>
        <xdr:cNvPr id="910" name="TextBox 909"/>
        <xdr:cNvSpPr txBox="1"/>
      </xdr:nvSpPr>
      <xdr:spPr>
        <a:xfrm>
          <a:off x="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9</xdr:col>
      <xdr:colOff>114300</xdr:colOff>
      <xdr:row>65</xdr:row>
      <xdr:rowOff>95250</xdr:rowOff>
    </xdr:to>
    <xdr:sp macro="" textlink="">
      <xdr:nvSpPr>
        <xdr:cNvPr id="911" name="TextBox 910"/>
        <xdr:cNvSpPr txBox="1"/>
      </xdr:nvSpPr>
      <xdr:spPr>
        <a:xfrm>
          <a:off x="457200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5</xdr:col>
      <xdr:colOff>304800</xdr:colOff>
      <xdr:row>66</xdr:row>
      <xdr:rowOff>95250</xdr:rowOff>
    </xdr:to>
    <xdr:sp macro="" textlink="">
      <xdr:nvSpPr>
        <xdr:cNvPr id="912" name="TextBox 911"/>
        <xdr:cNvSpPr txBox="1"/>
      </xdr:nvSpPr>
      <xdr:spPr>
        <a:xfrm>
          <a:off x="2133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12</xdr:col>
      <xdr:colOff>304800</xdr:colOff>
      <xdr:row>66</xdr:row>
      <xdr:rowOff>95250</xdr:rowOff>
    </xdr:to>
    <xdr:sp macro="" textlink="">
      <xdr:nvSpPr>
        <xdr:cNvPr id="913" name="TextBox 912"/>
        <xdr:cNvSpPr txBox="1"/>
      </xdr:nvSpPr>
      <xdr:spPr>
        <a:xfrm>
          <a:off x="6705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2</xdr:col>
      <xdr:colOff>114300</xdr:colOff>
      <xdr:row>95</xdr:row>
      <xdr:rowOff>95250</xdr:rowOff>
    </xdr:to>
    <xdr:sp macro="" textlink="">
      <xdr:nvSpPr>
        <xdr:cNvPr id="914" name="TextBox 913"/>
        <xdr:cNvSpPr txBox="1"/>
      </xdr:nvSpPr>
      <xdr:spPr>
        <a:xfrm>
          <a:off x="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9</xdr:col>
      <xdr:colOff>114300</xdr:colOff>
      <xdr:row>95</xdr:row>
      <xdr:rowOff>95250</xdr:rowOff>
    </xdr:to>
    <xdr:sp macro="" textlink="">
      <xdr:nvSpPr>
        <xdr:cNvPr id="915" name="TextBox 914"/>
        <xdr:cNvSpPr txBox="1"/>
      </xdr:nvSpPr>
      <xdr:spPr>
        <a:xfrm>
          <a:off x="457200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5</xdr:col>
      <xdr:colOff>304800</xdr:colOff>
      <xdr:row>96</xdr:row>
      <xdr:rowOff>95250</xdr:rowOff>
    </xdr:to>
    <xdr:sp macro="" textlink="">
      <xdr:nvSpPr>
        <xdr:cNvPr id="916" name="TextBox 915"/>
        <xdr:cNvSpPr txBox="1"/>
      </xdr:nvSpPr>
      <xdr:spPr>
        <a:xfrm>
          <a:off x="2133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12</xdr:col>
      <xdr:colOff>304800</xdr:colOff>
      <xdr:row>96</xdr:row>
      <xdr:rowOff>95250</xdr:rowOff>
    </xdr:to>
    <xdr:sp macro="" textlink="">
      <xdr:nvSpPr>
        <xdr:cNvPr id="917" name="TextBox 916"/>
        <xdr:cNvSpPr txBox="1"/>
      </xdr:nvSpPr>
      <xdr:spPr>
        <a:xfrm>
          <a:off x="6705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114300</xdr:colOff>
      <xdr:row>125</xdr:row>
      <xdr:rowOff>95250</xdr:rowOff>
    </xdr:to>
    <xdr:sp macro="" textlink="">
      <xdr:nvSpPr>
        <xdr:cNvPr id="918" name="TextBox 917"/>
        <xdr:cNvSpPr txBox="1"/>
      </xdr:nvSpPr>
      <xdr:spPr>
        <a:xfrm>
          <a:off x="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9</xdr:col>
      <xdr:colOff>114300</xdr:colOff>
      <xdr:row>125</xdr:row>
      <xdr:rowOff>95250</xdr:rowOff>
    </xdr:to>
    <xdr:sp macro="" textlink="">
      <xdr:nvSpPr>
        <xdr:cNvPr id="919" name="TextBox 918"/>
        <xdr:cNvSpPr txBox="1"/>
      </xdr:nvSpPr>
      <xdr:spPr>
        <a:xfrm>
          <a:off x="457200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304800</xdr:colOff>
      <xdr:row>126</xdr:row>
      <xdr:rowOff>95250</xdr:rowOff>
    </xdr:to>
    <xdr:sp macro="" textlink="">
      <xdr:nvSpPr>
        <xdr:cNvPr id="920" name="TextBox 919"/>
        <xdr:cNvSpPr txBox="1"/>
      </xdr:nvSpPr>
      <xdr:spPr>
        <a:xfrm>
          <a:off x="2133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</xdr:row>
      <xdr:rowOff>0</xdr:rowOff>
    </xdr:from>
    <xdr:to>
      <xdr:col>12</xdr:col>
      <xdr:colOff>304800</xdr:colOff>
      <xdr:row>126</xdr:row>
      <xdr:rowOff>95250</xdr:rowOff>
    </xdr:to>
    <xdr:sp macro="" textlink="">
      <xdr:nvSpPr>
        <xdr:cNvPr id="921" name="TextBox 920"/>
        <xdr:cNvSpPr txBox="1"/>
      </xdr:nvSpPr>
      <xdr:spPr>
        <a:xfrm>
          <a:off x="6705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150</xdr:row>
      <xdr:rowOff>0</xdr:rowOff>
    </xdr:from>
    <xdr:to>
      <xdr:col>2</xdr:col>
      <xdr:colOff>114300</xdr:colOff>
      <xdr:row>155</xdr:row>
      <xdr:rowOff>95250</xdr:rowOff>
    </xdr:to>
    <xdr:sp macro="" textlink="">
      <xdr:nvSpPr>
        <xdr:cNvPr id="922" name="TextBox 921"/>
        <xdr:cNvSpPr txBox="1"/>
      </xdr:nvSpPr>
      <xdr:spPr>
        <a:xfrm>
          <a:off x="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150</xdr:row>
      <xdr:rowOff>0</xdr:rowOff>
    </xdr:from>
    <xdr:to>
      <xdr:col>9</xdr:col>
      <xdr:colOff>114300</xdr:colOff>
      <xdr:row>155</xdr:row>
      <xdr:rowOff>95250</xdr:rowOff>
    </xdr:to>
    <xdr:sp macro="" textlink="">
      <xdr:nvSpPr>
        <xdr:cNvPr id="923" name="TextBox 922"/>
        <xdr:cNvSpPr txBox="1"/>
      </xdr:nvSpPr>
      <xdr:spPr>
        <a:xfrm>
          <a:off x="457200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5</xdr:col>
      <xdr:colOff>304800</xdr:colOff>
      <xdr:row>156</xdr:row>
      <xdr:rowOff>95250</xdr:rowOff>
    </xdr:to>
    <xdr:sp macro="" textlink="">
      <xdr:nvSpPr>
        <xdr:cNvPr id="924" name="TextBox 923"/>
        <xdr:cNvSpPr txBox="1"/>
      </xdr:nvSpPr>
      <xdr:spPr>
        <a:xfrm>
          <a:off x="2133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12</xdr:col>
      <xdr:colOff>304800</xdr:colOff>
      <xdr:row>156</xdr:row>
      <xdr:rowOff>95250</xdr:rowOff>
    </xdr:to>
    <xdr:sp macro="" textlink="">
      <xdr:nvSpPr>
        <xdr:cNvPr id="925" name="TextBox 924"/>
        <xdr:cNvSpPr txBox="1"/>
      </xdr:nvSpPr>
      <xdr:spPr>
        <a:xfrm>
          <a:off x="6705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180</xdr:row>
      <xdr:rowOff>0</xdr:rowOff>
    </xdr:from>
    <xdr:to>
      <xdr:col>2</xdr:col>
      <xdr:colOff>114300</xdr:colOff>
      <xdr:row>185</xdr:row>
      <xdr:rowOff>95250</xdr:rowOff>
    </xdr:to>
    <xdr:sp macro="" textlink="">
      <xdr:nvSpPr>
        <xdr:cNvPr id="926" name="TextBox 925"/>
        <xdr:cNvSpPr txBox="1"/>
      </xdr:nvSpPr>
      <xdr:spPr>
        <a:xfrm>
          <a:off x="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9</xdr:col>
      <xdr:colOff>114300</xdr:colOff>
      <xdr:row>185</xdr:row>
      <xdr:rowOff>95250</xdr:rowOff>
    </xdr:to>
    <xdr:sp macro="" textlink="">
      <xdr:nvSpPr>
        <xdr:cNvPr id="927" name="TextBox 926"/>
        <xdr:cNvSpPr txBox="1"/>
      </xdr:nvSpPr>
      <xdr:spPr>
        <a:xfrm>
          <a:off x="457200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5</xdr:col>
      <xdr:colOff>304800</xdr:colOff>
      <xdr:row>186</xdr:row>
      <xdr:rowOff>95250</xdr:rowOff>
    </xdr:to>
    <xdr:sp macro="" textlink="">
      <xdr:nvSpPr>
        <xdr:cNvPr id="928" name="TextBox 927"/>
        <xdr:cNvSpPr txBox="1"/>
      </xdr:nvSpPr>
      <xdr:spPr>
        <a:xfrm>
          <a:off x="2133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180</xdr:row>
      <xdr:rowOff>0</xdr:rowOff>
    </xdr:from>
    <xdr:to>
      <xdr:col>12</xdr:col>
      <xdr:colOff>304800</xdr:colOff>
      <xdr:row>186</xdr:row>
      <xdr:rowOff>95250</xdr:rowOff>
    </xdr:to>
    <xdr:sp macro="" textlink="">
      <xdr:nvSpPr>
        <xdr:cNvPr id="929" name="TextBox 928"/>
        <xdr:cNvSpPr txBox="1"/>
      </xdr:nvSpPr>
      <xdr:spPr>
        <a:xfrm>
          <a:off x="6705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210</xdr:row>
      <xdr:rowOff>0</xdr:rowOff>
    </xdr:from>
    <xdr:to>
      <xdr:col>2</xdr:col>
      <xdr:colOff>114300</xdr:colOff>
      <xdr:row>215</xdr:row>
      <xdr:rowOff>95250</xdr:rowOff>
    </xdr:to>
    <xdr:sp macro="" textlink="">
      <xdr:nvSpPr>
        <xdr:cNvPr id="930" name="TextBox 929"/>
        <xdr:cNvSpPr txBox="1"/>
      </xdr:nvSpPr>
      <xdr:spPr>
        <a:xfrm>
          <a:off x="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9</xdr:col>
      <xdr:colOff>114300</xdr:colOff>
      <xdr:row>215</xdr:row>
      <xdr:rowOff>95250</xdr:rowOff>
    </xdr:to>
    <xdr:sp macro="" textlink="">
      <xdr:nvSpPr>
        <xdr:cNvPr id="931" name="TextBox 930"/>
        <xdr:cNvSpPr txBox="1"/>
      </xdr:nvSpPr>
      <xdr:spPr>
        <a:xfrm>
          <a:off x="457200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5</xdr:col>
      <xdr:colOff>304800</xdr:colOff>
      <xdr:row>216</xdr:row>
      <xdr:rowOff>95250</xdr:rowOff>
    </xdr:to>
    <xdr:sp macro="" textlink="">
      <xdr:nvSpPr>
        <xdr:cNvPr id="932" name="TextBox 931"/>
        <xdr:cNvSpPr txBox="1"/>
      </xdr:nvSpPr>
      <xdr:spPr>
        <a:xfrm>
          <a:off x="2133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210</xdr:row>
      <xdr:rowOff>0</xdr:rowOff>
    </xdr:from>
    <xdr:to>
      <xdr:col>12</xdr:col>
      <xdr:colOff>304800</xdr:colOff>
      <xdr:row>216</xdr:row>
      <xdr:rowOff>95250</xdr:rowOff>
    </xdr:to>
    <xdr:sp macro="" textlink="">
      <xdr:nvSpPr>
        <xdr:cNvPr id="933" name="TextBox 932"/>
        <xdr:cNvSpPr txBox="1"/>
      </xdr:nvSpPr>
      <xdr:spPr>
        <a:xfrm>
          <a:off x="6705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240</xdr:row>
      <xdr:rowOff>0</xdr:rowOff>
    </xdr:from>
    <xdr:to>
      <xdr:col>2</xdr:col>
      <xdr:colOff>114300</xdr:colOff>
      <xdr:row>245</xdr:row>
      <xdr:rowOff>95250</xdr:rowOff>
    </xdr:to>
    <xdr:sp macro="" textlink="">
      <xdr:nvSpPr>
        <xdr:cNvPr id="934" name="TextBox 933"/>
        <xdr:cNvSpPr txBox="1"/>
      </xdr:nvSpPr>
      <xdr:spPr>
        <a:xfrm>
          <a:off x="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240</xdr:row>
      <xdr:rowOff>0</xdr:rowOff>
    </xdr:from>
    <xdr:to>
      <xdr:col>9</xdr:col>
      <xdr:colOff>114300</xdr:colOff>
      <xdr:row>245</xdr:row>
      <xdr:rowOff>95250</xdr:rowOff>
    </xdr:to>
    <xdr:sp macro="" textlink="">
      <xdr:nvSpPr>
        <xdr:cNvPr id="935" name="TextBox 934"/>
        <xdr:cNvSpPr txBox="1"/>
      </xdr:nvSpPr>
      <xdr:spPr>
        <a:xfrm>
          <a:off x="457200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5</xdr:col>
      <xdr:colOff>304800</xdr:colOff>
      <xdr:row>246</xdr:row>
      <xdr:rowOff>95250</xdr:rowOff>
    </xdr:to>
    <xdr:sp macro="" textlink="">
      <xdr:nvSpPr>
        <xdr:cNvPr id="936" name="TextBox 935"/>
        <xdr:cNvSpPr txBox="1"/>
      </xdr:nvSpPr>
      <xdr:spPr>
        <a:xfrm>
          <a:off x="2133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240</xdr:row>
      <xdr:rowOff>0</xdr:rowOff>
    </xdr:from>
    <xdr:to>
      <xdr:col>12</xdr:col>
      <xdr:colOff>304800</xdr:colOff>
      <xdr:row>246</xdr:row>
      <xdr:rowOff>95250</xdr:rowOff>
    </xdr:to>
    <xdr:sp macro="" textlink="">
      <xdr:nvSpPr>
        <xdr:cNvPr id="937" name="TextBox 936"/>
        <xdr:cNvSpPr txBox="1"/>
      </xdr:nvSpPr>
      <xdr:spPr>
        <a:xfrm>
          <a:off x="6705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270</xdr:row>
      <xdr:rowOff>0</xdr:rowOff>
    </xdr:from>
    <xdr:to>
      <xdr:col>2</xdr:col>
      <xdr:colOff>114300</xdr:colOff>
      <xdr:row>275</xdr:row>
      <xdr:rowOff>95250</xdr:rowOff>
    </xdr:to>
    <xdr:sp macro="" textlink="">
      <xdr:nvSpPr>
        <xdr:cNvPr id="938" name="TextBox 937"/>
        <xdr:cNvSpPr txBox="1"/>
      </xdr:nvSpPr>
      <xdr:spPr>
        <a:xfrm>
          <a:off x="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270</xdr:row>
      <xdr:rowOff>0</xdr:rowOff>
    </xdr:from>
    <xdr:to>
      <xdr:col>9</xdr:col>
      <xdr:colOff>114300</xdr:colOff>
      <xdr:row>275</xdr:row>
      <xdr:rowOff>95250</xdr:rowOff>
    </xdr:to>
    <xdr:sp macro="" textlink="">
      <xdr:nvSpPr>
        <xdr:cNvPr id="939" name="TextBox 938"/>
        <xdr:cNvSpPr txBox="1"/>
      </xdr:nvSpPr>
      <xdr:spPr>
        <a:xfrm>
          <a:off x="457200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270</xdr:row>
      <xdr:rowOff>0</xdr:rowOff>
    </xdr:from>
    <xdr:to>
      <xdr:col>5</xdr:col>
      <xdr:colOff>304800</xdr:colOff>
      <xdr:row>276</xdr:row>
      <xdr:rowOff>95250</xdr:rowOff>
    </xdr:to>
    <xdr:sp macro="" textlink="">
      <xdr:nvSpPr>
        <xdr:cNvPr id="940" name="TextBox 939"/>
        <xdr:cNvSpPr txBox="1"/>
      </xdr:nvSpPr>
      <xdr:spPr>
        <a:xfrm>
          <a:off x="2133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270</xdr:row>
      <xdr:rowOff>0</xdr:rowOff>
    </xdr:from>
    <xdr:to>
      <xdr:col>12</xdr:col>
      <xdr:colOff>304800</xdr:colOff>
      <xdr:row>276</xdr:row>
      <xdr:rowOff>95250</xdr:rowOff>
    </xdr:to>
    <xdr:sp macro="" textlink="">
      <xdr:nvSpPr>
        <xdr:cNvPr id="941" name="TextBox 940"/>
        <xdr:cNvSpPr txBox="1"/>
      </xdr:nvSpPr>
      <xdr:spPr>
        <a:xfrm>
          <a:off x="6705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300</xdr:row>
      <xdr:rowOff>0</xdr:rowOff>
    </xdr:from>
    <xdr:to>
      <xdr:col>2</xdr:col>
      <xdr:colOff>114300</xdr:colOff>
      <xdr:row>305</xdr:row>
      <xdr:rowOff>95250</xdr:rowOff>
    </xdr:to>
    <xdr:sp macro="" textlink="">
      <xdr:nvSpPr>
        <xdr:cNvPr id="942" name="TextBox 941"/>
        <xdr:cNvSpPr txBox="1"/>
      </xdr:nvSpPr>
      <xdr:spPr>
        <a:xfrm>
          <a:off x="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300</xdr:row>
      <xdr:rowOff>0</xdr:rowOff>
    </xdr:from>
    <xdr:to>
      <xdr:col>9</xdr:col>
      <xdr:colOff>114300</xdr:colOff>
      <xdr:row>305</xdr:row>
      <xdr:rowOff>95250</xdr:rowOff>
    </xdr:to>
    <xdr:sp macro="" textlink="">
      <xdr:nvSpPr>
        <xdr:cNvPr id="943" name="TextBox 942"/>
        <xdr:cNvSpPr txBox="1"/>
      </xdr:nvSpPr>
      <xdr:spPr>
        <a:xfrm>
          <a:off x="457200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5</xdr:col>
      <xdr:colOff>304800</xdr:colOff>
      <xdr:row>306</xdr:row>
      <xdr:rowOff>95250</xdr:rowOff>
    </xdr:to>
    <xdr:sp macro="" textlink="">
      <xdr:nvSpPr>
        <xdr:cNvPr id="944" name="TextBox 943"/>
        <xdr:cNvSpPr txBox="1"/>
      </xdr:nvSpPr>
      <xdr:spPr>
        <a:xfrm>
          <a:off x="2133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300</xdr:row>
      <xdr:rowOff>0</xdr:rowOff>
    </xdr:from>
    <xdr:to>
      <xdr:col>12</xdr:col>
      <xdr:colOff>304800</xdr:colOff>
      <xdr:row>306</xdr:row>
      <xdr:rowOff>95250</xdr:rowOff>
    </xdr:to>
    <xdr:sp macro="" textlink="">
      <xdr:nvSpPr>
        <xdr:cNvPr id="945" name="TextBox 944"/>
        <xdr:cNvSpPr txBox="1"/>
      </xdr:nvSpPr>
      <xdr:spPr>
        <a:xfrm>
          <a:off x="6705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330</xdr:row>
      <xdr:rowOff>0</xdr:rowOff>
    </xdr:from>
    <xdr:to>
      <xdr:col>2</xdr:col>
      <xdr:colOff>114300</xdr:colOff>
      <xdr:row>335</xdr:row>
      <xdr:rowOff>95250</xdr:rowOff>
    </xdr:to>
    <xdr:sp macro="" textlink="">
      <xdr:nvSpPr>
        <xdr:cNvPr id="946" name="TextBox 945"/>
        <xdr:cNvSpPr txBox="1"/>
      </xdr:nvSpPr>
      <xdr:spPr>
        <a:xfrm>
          <a:off x="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330</xdr:row>
      <xdr:rowOff>0</xdr:rowOff>
    </xdr:from>
    <xdr:to>
      <xdr:col>9</xdr:col>
      <xdr:colOff>114300</xdr:colOff>
      <xdr:row>335</xdr:row>
      <xdr:rowOff>95250</xdr:rowOff>
    </xdr:to>
    <xdr:sp macro="" textlink="">
      <xdr:nvSpPr>
        <xdr:cNvPr id="947" name="TextBox 946"/>
        <xdr:cNvSpPr txBox="1"/>
      </xdr:nvSpPr>
      <xdr:spPr>
        <a:xfrm>
          <a:off x="457200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330</xdr:row>
      <xdr:rowOff>0</xdr:rowOff>
    </xdr:from>
    <xdr:to>
      <xdr:col>5</xdr:col>
      <xdr:colOff>304800</xdr:colOff>
      <xdr:row>336</xdr:row>
      <xdr:rowOff>95250</xdr:rowOff>
    </xdr:to>
    <xdr:sp macro="" textlink="">
      <xdr:nvSpPr>
        <xdr:cNvPr id="948" name="TextBox 947"/>
        <xdr:cNvSpPr txBox="1"/>
      </xdr:nvSpPr>
      <xdr:spPr>
        <a:xfrm>
          <a:off x="2133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330</xdr:row>
      <xdr:rowOff>0</xdr:rowOff>
    </xdr:from>
    <xdr:to>
      <xdr:col>12</xdr:col>
      <xdr:colOff>304800</xdr:colOff>
      <xdr:row>336</xdr:row>
      <xdr:rowOff>95250</xdr:rowOff>
    </xdr:to>
    <xdr:sp macro="" textlink="">
      <xdr:nvSpPr>
        <xdr:cNvPr id="949" name="TextBox 948"/>
        <xdr:cNvSpPr txBox="1"/>
      </xdr:nvSpPr>
      <xdr:spPr>
        <a:xfrm>
          <a:off x="6705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360</xdr:row>
      <xdr:rowOff>0</xdr:rowOff>
    </xdr:from>
    <xdr:to>
      <xdr:col>2</xdr:col>
      <xdr:colOff>114300</xdr:colOff>
      <xdr:row>365</xdr:row>
      <xdr:rowOff>95250</xdr:rowOff>
    </xdr:to>
    <xdr:sp macro="" textlink="">
      <xdr:nvSpPr>
        <xdr:cNvPr id="950" name="TextBox 949"/>
        <xdr:cNvSpPr txBox="1"/>
      </xdr:nvSpPr>
      <xdr:spPr>
        <a:xfrm>
          <a:off x="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360</xdr:row>
      <xdr:rowOff>0</xdr:rowOff>
    </xdr:from>
    <xdr:to>
      <xdr:col>9</xdr:col>
      <xdr:colOff>114300</xdr:colOff>
      <xdr:row>365</xdr:row>
      <xdr:rowOff>95250</xdr:rowOff>
    </xdr:to>
    <xdr:sp macro="" textlink="">
      <xdr:nvSpPr>
        <xdr:cNvPr id="951" name="TextBox 950"/>
        <xdr:cNvSpPr txBox="1"/>
      </xdr:nvSpPr>
      <xdr:spPr>
        <a:xfrm>
          <a:off x="457200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360</xdr:row>
      <xdr:rowOff>0</xdr:rowOff>
    </xdr:from>
    <xdr:to>
      <xdr:col>5</xdr:col>
      <xdr:colOff>304800</xdr:colOff>
      <xdr:row>366</xdr:row>
      <xdr:rowOff>95250</xdr:rowOff>
    </xdr:to>
    <xdr:sp macro="" textlink="">
      <xdr:nvSpPr>
        <xdr:cNvPr id="952" name="TextBox 951"/>
        <xdr:cNvSpPr txBox="1"/>
      </xdr:nvSpPr>
      <xdr:spPr>
        <a:xfrm>
          <a:off x="2133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360</xdr:row>
      <xdr:rowOff>0</xdr:rowOff>
    </xdr:from>
    <xdr:to>
      <xdr:col>12</xdr:col>
      <xdr:colOff>304800</xdr:colOff>
      <xdr:row>366</xdr:row>
      <xdr:rowOff>95250</xdr:rowOff>
    </xdr:to>
    <xdr:sp macro="" textlink="">
      <xdr:nvSpPr>
        <xdr:cNvPr id="953" name="TextBox 952"/>
        <xdr:cNvSpPr txBox="1"/>
      </xdr:nvSpPr>
      <xdr:spPr>
        <a:xfrm>
          <a:off x="6705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390</xdr:row>
      <xdr:rowOff>0</xdr:rowOff>
    </xdr:from>
    <xdr:to>
      <xdr:col>2</xdr:col>
      <xdr:colOff>114300</xdr:colOff>
      <xdr:row>395</xdr:row>
      <xdr:rowOff>95250</xdr:rowOff>
    </xdr:to>
    <xdr:sp macro="" textlink="">
      <xdr:nvSpPr>
        <xdr:cNvPr id="954" name="TextBox 953"/>
        <xdr:cNvSpPr txBox="1"/>
      </xdr:nvSpPr>
      <xdr:spPr>
        <a:xfrm>
          <a:off x="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390</xdr:row>
      <xdr:rowOff>0</xdr:rowOff>
    </xdr:from>
    <xdr:to>
      <xdr:col>9</xdr:col>
      <xdr:colOff>114300</xdr:colOff>
      <xdr:row>395</xdr:row>
      <xdr:rowOff>95250</xdr:rowOff>
    </xdr:to>
    <xdr:sp macro="" textlink="">
      <xdr:nvSpPr>
        <xdr:cNvPr id="955" name="TextBox 954"/>
        <xdr:cNvSpPr txBox="1"/>
      </xdr:nvSpPr>
      <xdr:spPr>
        <a:xfrm>
          <a:off x="457200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390</xdr:row>
      <xdr:rowOff>0</xdr:rowOff>
    </xdr:from>
    <xdr:to>
      <xdr:col>5</xdr:col>
      <xdr:colOff>304800</xdr:colOff>
      <xdr:row>396</xdr:row>
      <xdr:rowOff>95250</xdr:rowOff>
    </xdr:to>
    <xdr:sp macro="" textlink="">
      <xdr:nvSpPr>
        <xdr:cNvPr id="956" name="TextBox 955"/>
        <xdr:cNvSpPr txBox="1"/>
      </xdr:nvSpPr>
      <xdr:spPr>
        <a:xfrm>
          <a:off x="2133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390</xdr:row>
      <xdr:rowOff>0</xdr:rowOff>
    </xdr:from>
    <xdr:to>
      <xdr:col>12</xdr:col>
      <xdr:colOff>304800</xdr:colOff>
      <xdr:row>396</xdr:row>
      <xdr:rowOff>95250</xdr:rowOff>
    </xdr:to>
    <xdr:sp macro="" textlink="">
      <xdr:nvSpPr>
        <xdr:cNvPr id="957" name="TextBox 956"/>
        <xdr:cNvSpPr txBox="1"/>
      </xdr:nvSpPr>
      <xdr:spPr>
        <a:xfrm>
          <a:off x="6705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420</xdr:row>
      <xdr:rowOff>0</xdr:rowOff>
    </xdr:from>
    <xdr:to>
      <xdr:col>2</xdr:col>
      <xdr:colOff>114300</xdr:colOff>
      <xdr:row>425</xdr:row>
      <xdr:rowOff>95250</xdr:rowOff>
    </xdr:to>
    <xdr:sp macro="" textlink="">
      <xdr:nvSpPr>
        <xdr:cNvPr id="958" name="TextBox 957"/>
        <xdr:cNvSpPr txBox="1"/>
      </xdr:nvSpPr>
      <xdr:spPr>
        <a:xfrm>
          <a:off x="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420</xdr:row>
      <xdr:rowOff>0</xdr:rowOff>
    </xdr:from>
    <xdr:to>
      <xdr:col>9</xdr:col>
      <xdr:colOff>114300</xdr:colOff>
      <xdr:row>425</xdr:row>
      <xdr:rowOff>95250</xdr:rowOff>
    </xdr:to>
    <xdr:sp macro="" textlink="">
      <xdr:nvSpPr>
        <xdr:cNvPr id="959" name="TextBox 958"/>
        <xdr:cNvSpPr txBox="1"/>
      </xdr:nvSpPr>
      <xdr:spPr>
        <a:xfrm>
          <a:off x="457200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420</xdr:row>
      <xdr:rowOff>0</xdr:rowOff>
    </xdr:from>
    <xdr:to>
      <xdr:col>5</xdr:col>
      <xdr:colOff>304800</xdr:colOff>
      <xdr:row>426</xdr:row>
      <xdr:rowOff>95250</xdr:rowOff>
    </xdr:to>
    <xdr:sp macro="" textlink="">
      <xdr:nvSpPr>
        <xdr:cNvPr id="960" name="TextBox 959"/>
        <xdr:cNvSpPr txBox="1"/>
      </xdr:nvSpPr>
      <xdr:spPr>
        <a:xfrm>
          <a:off x="2133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420</xdr:row>
      <xdr:rowOff>0</xdr:rowOff>
    </xdr:from>
    <xdr:to>
      <xdr:col>12</xdr:col>
      <xdr:colOff>304800</xdr:colOff>
      <xdr:row>426</xdr:row>
      <xdr:rowOff>95250</xdr:rowOff>
    </xdr:to>
    <xdr:sp macro="" textlink="">
      <xdr:nvSpPr>
        <xdr:cNvPr id="961" name="TextBox 960"/>
        <xdr:cNvSpPr txBox="1"/>
      </xdr:nvSpPr>
      <xdr:spPr>
        <a:xfrm>
          <a:off x="6705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450</xdr:row>
      <xdr:rowOff>0</xdr:rowOff>
    </xdr:from>
    <xdr:to>
      <xdr:col>2</xdr:col>
      <xdr:colOff>114300</xdr:colOff>
      <xdr:row>455</xdr:row>
      <xdr:rowOff>95250</xdr:rowOff>
    </xdr:to>
    <xdr:sp macro="" textlink="">
      <xdr:nvSpPr>
        <xdr:cNvPr id="962" name="TextBox 961"/>
        <xdr:cNvSpPr txBox="1"/>
      </xdr:nvSpPr>
      <xdr:spPr>
        <a:xfrm>
          <a:off x="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9</xdr:col>
      <xdr:colOff>114300</xdr:colOff>
      <xdr:row>455</xdr:row>
      <xdr:rowOff>95250</xdr:rowOff>
    </xdr:to>
    <xdr:sp macro="" textlink="">
      <xdr:nvSpPr>
        <xdr:cNvPr id="963" name="TextBox 962"/>
        <xdr:cNvSpPr txBox="1"/>
      </xdr:nvSpPr>
      <xdr:spPr>
        <a:xfrm>
          <a:off x="457200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450</xdr:row>
      <xdr:rowOff>0</xdr:rowOff>
    </xdr:from>
    <xdr:to>
      <xdr:col>5</xdr:col>
      <xdr:colOff>304800</xdr:colOff>
      <xdr:row>456</xdr:row>
      <xdr:rowOff>95250</xdr:rowOff>
    </xdr:to>
    <xdr:sp macro="" textlink="">
      <xdr:nvSpPr>
        <xdr:cNvPr id="964" name="TextBox 963"/>
        <xdr:cNvSpPr txBox="1"/>
      </xdr:nvSpPr>
      <xdr:spPr>
        <a:xfrm>
          <a:off x="2133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450</xdr:row>
      <xdr:rowOff>0</xdr:rowOff>
    </xdr:from>
    <xdr:to>
      <xdr:col>12</xdr:col>
      <xdr:colOff>304800</xdr:colOff>
      <xdr:row>456</xdr:row>
      <xdr:rowOff>95250</xdr:rowOff>
    </xdr:to>
    <xdr:sp macro="" textlink="">
      <xdr:nvSpPr>
        <xdr:cNvPr id="965" name="TextBox 964"/>
        <xdr:cNvSpPr txBox="1"/>
      </xdr:nvSpPr>
      <xdr:spPr>
        <a:xfrm>
          <a:off x="6705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480</xdr:row>
      <xdr:rowOff>0</xdr:rowOff>
    </xdr:from>
    <xdr:to>
      <xdr:col>2</xdr:col>
      <xdr:colOff>114300</xdr:colOff>
      <xdr:row>485</xdr:row>
      <xdr:rowOff>95250</xdr:rowOff>
    </xdr:to>
    <xdr:sp macro="" textlink="">
      <xdr:nvSpPr>
        <xdr:cNvPr id="966" name="TextBox 965"/>
        <xdr:cNvSpPr txBox="1"/>
      </xdr:nvSpPr>
      <xdr:spPr>
        <a:xfrm>
          <a:off x="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480</xdr:row>
      <xdr:rowOff>0</xdr:rowOff>
    </xdr:from>
    <xdr:to>
      <xdr:col>9</xdr:col>
      <xdr:colOff>114300</xdr:colOff>
      <xdr:row>485</xdr:row>
      <xdr:rowOff>95250</xdr:rowOff>
    </xdr:to>
    <xdr:sp macro="" textlink="">
      <xdr:nvSpPr>
        <xdr:cNvPr id="967" name="TextBox 966"/>
        <xdr:cNvSpPr txBox="1"/>
      </xdr:nvSpPr>
      <xdr:spPr>
        <a:xfrm>
          <a:off x="457200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480</xdr:row>
      <xdr:rowOff>0</xdr:rowOff>
    </xdr:from>
    <xdr:to>
      <xdr:col>5</xdr:col>
      <xdr:colOff>304800</xdr:colOff>
      <xdr:row>486</xdr:row>
      <xdr:rowOff>95250</xdr:rowOff>
    </xdr:to>
    <xdr:sp macro="" textlink="">
      <xdr:nvSpPr>
        <xdr:cNvPr id="968" name="TextBox 967"/>
        <xdr:cNvSpPr txBox="1"/>
      </xdr:nvSpPr>
      <xdr:spPr>
        <a:xfrm>
          <a:off x="2133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480</xdr:row>
      <xdr:rowOff>0</xdr:rowOff>
    </xdr:from>
    <xdr:to>
      <xdr:col>12</xdr:col>
      <xdr:colOff>304800</xdr:colOff>
      <xdr:row>486</xdr:row>
      <xdr:rowOff>95250</xdr:rowOff>
    </xdr:to>
    <xdr:sp macro="" textlink="">
      <xdr:nvSpPr>
        <xdr:cNvPr id="969" name="TextBox 968"/>
        <xdr:cNvSpPr txBox="1"/>
      </xdr:nvSpPr>
      <xdr:spPr>
        <a:xfrm>
          <a:off x="6705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510</xdr:row>
      <xdr:rowOff>0</xdr:rowOff>
    </xdr:from>
    <xdr:to>
      <xdr:col>2</xdr:col>
      <xdr:colOff>114300</xdr:colOff>
      <xdr:row>515</xdr:row>
      <xdr:rowOff>95250</xdr:rowOff>
    </xdr:to>
    <xdr:sp macro="" textlink="">
      <xdr:nvSpPr>
        <xdr:cNvPr id="970" name="TextBox 969"/>
        <xdr:cNvSpPr txBox="1"/>
      </xdr:nvSpPr>
      <xdr:spPr>
        <a:xfrm>
          <a:off x="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510</xdr:row>
      <xdr:rowOff>0</xdr:rowOff>
    </xdr:from>
    <xdr:to>
      <xdr:col>9</xdr:col>
      <xdr:colOff>114300</xdr:colOff>
      <xdr:row>515</xdr:row>
      <xdr:rowOff>95250</xdr:rowOff>
    </xdr:to>
    <xdr:sp macro="" textlink="">
      <xdr:nvSpPr>
        <xdr:cNvPr id="971" name="TextBox 970"/>
        <xdr:cNvSpPr txBox="1"/>
      </xdr:nvSpPr>
      <xdr:spPr>
        <a:xfrm>
          <a:off x="457200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510</xdr:row>
      <xdr:rowOff>0</xdr:rowOff>
    </xdr:from>
    <xdr:to>
      <xdr:col>5</xdr:col>
      <xdr:colOff>304800</xdr:colOff>
      <xdr:row>516</xdr:row>
      <xdr:rowOff>95250</xdr:rowOff>
    </xdr:to>
    <xdr:sp macro="" textlink="">
      <xdr:nvSpPr>
        <xdr:cNvPr id="972" name="TextBox 971"/>
        <xdr:cNvSpPr txBox="1"/>
      </xdr:nvSpPr>
      <xdr:spPr>
        <a:xfrm>
          <a:off x="2133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510</xdr:row>
      <xdr:rowOff>0</xdr:rowOff>
    </xdr:from>
    <xdr:to>
      <xdr:col>12</xdr:col>
      <xdr:colOff>304800</xdr:colOff>
      <xdr:row>516</xdr:row>
      <xdr:rowOff>95250</xdr:rowOff>
    </xdr:to>
    <xdr:sp macro="" textlink="">
      <xdr:nvSpPr>
        <xdr:cNvPr id="973" name="TextBox 972"/>
        <xdr:cNvSpPr txBox="1"/>
      </xdr:nvSpPr>
      <xdr:spPr>
        <a:xfrm>
          <a:off x="6705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540</xdr:row>
      <xdr:rowOff>0</xdr:rowOff>
    </xdr:from>
    <xdr:to>
      <xdr:col>2</xdr:col>
      <xdr:colOff>114300</xdr:colOff>
      <xdr:row>545</xdr:row>
      <xdr:rowOff>95250</xdr:rowOff>
    </xdr:to>
    <xdr:sp macro="" textlink="">
      <xdr:nvSpPr>
        <xdr:cNvPr id="974" name="TextBox 973"/>
        <xdr:cNvSpPr txBox="1"/>
      </xdr:nvSpPr>
      <xdr:spPr>
        <a:xfrm>
          <a:off x="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540</xdr:row>
      <xdr:rowOff>0</xdr:rowOff>
    </xdr:from>
    <xdr:to>
      <xdr:col>9</xdr:col>
      <xdr:colOff>114300</xdr:colOff>
      <xdr:row>545</xdr:row>
      <xdr:rowOff>95250</xdr:rowOff>
    </xdr:to>
    <xdr:sp macro="" textlink="">
      <xdr:nvSpPr>
        <xdr:cNvPr id="975" name="TextBox 974"/>
        <xdr:cNvSpPr txBox="1"/>
      </xdr:nvSpPr>
      <xdr:spPr>
        <a:xfrm>
          <a:off x="457200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540</xdr:row>
      <xdr:rowOff>0</xdr:rowOff>
    </xdr:from>
    <xdr:to>
      <xdr:col>5</xdr:col>
      <xdr:colOff>304800</xdr:colOff>
      <xdr:row>546</xdr:row>
      <xdr:rowOff>95250</xdr:rowOff>
    </xdr:to>
    <xdr:sp macro="" textlink="">
      <xdr:nvSpPr>
        <xdr:cNvPr id="976" name="TextBox 975"/>
        <xdr:cNvSpPr txBox="1"/>
      </xdr:nvSpPr>
      <xdr:spPr>
        <a:xfrm>
          <a:off x="2133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540</xdr:row>
      <xdr:rowOff>0</xdr:rowOff>
    </xdr:from>
    <xdr:to>
      <xdr:col>12</xdr:col>
      <xdr:colOff>304800</xdr:colOff>
      <xdr:row>546</xdr:row>
      <xdr:rowOff>95250</xdr:rowOff>
    </xdr:to>
    <xdr:sp macro="" textlink="">
      <xdr:nvSpPr>
        <xdr:cNvPr id="977" name="TextBox 976"/>
        <xdr:cNvSpPr txBox="1"/>
      </xdr:nvSpPr>
      <xdr:spPr>
        <a:xfrm>
          <a:off x="6705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570</xdr:row>
      <xdr:rowOff>0</xdr:rowOff>
    </xdr:from>
    <xdr:to>
      <xdr:col>2</xdr:col>
      <xdr:colOff>114300</xdr:colOff>
      <xdr:row>575</xdr:row>
      <xdr:rowOff>95250</xdr:rowOff>
    </xdr:to>
    <xdr:sp macro="" textlink="">
      <xdr:nvSpPr>
        <xdr:cNvPr id="978" name="TextBox 977"/>
        <xdr:cNvSpPr txBox="1"/>
      </xdr:nvSpPr>
      <xdr:spPr>
        <a:xfrm>
          <a:off x="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570</xdr:row>
      <xdr:rowOff>0</xdr:rowOff>
    </xdr:from>
    <xdr:to>
      <xdr:col>9</xdr:col>
      <xdr:colOff>114300</xdr:colOff>
      <xdr:row>575</xdr:row>
      <xdr:rowOff>95250</xdr:rowOff>
    </xdr:to>
    <xdr:sp macro="" textlink="">
      <xdr:nvSpPr>
        <xdr:cNvPr id="979" name="TextBox 978"/>
        <xdr:cNvSpPr txBox="1"/>
      </xdr:nvSpPr>
      <xdr:spPr>
        <a:xfrm>
          <a:off x="457200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570</xdr:row>
      <xdr:rowOff>0</xdr:rowOff>
    </xdr:from>
    <xdr:to>
      <xdr:col>5</xdr:col>
      <xdr:colOff>304800</xdr:colOff>
      <xdr:row>576</xdr:row>
      <xdr:rowOff>95250</xdr:rowOff>
    </xdr:to>
    <xdr:sp macro="" textlink="">
      <xdr:nvSpPr>
        <xdr:cNvPr id="980" name="TextBox 979"/>
        <xdr:cNvSpPr txBox="1"/>
      </xdr:nvSpPr>
      <xdr:spPr>
        <a:xfrm>
          <a:off x="2133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570</xdr:row>
      <xdr:rowOff>0</xdr:rowOff>
    </xdr:from>
    <xdr:to>
      <xdr:col>12</xdr:col>
      <xdr:colOff>304800</xdr:colOff>
      <xdr:row>576</xdr:row>
      <xdr:rowOff>95250</xdr:rowOff>
    </xdr:to>
    <xdr:sp macro="" textlink="">
      <xdr:nvSpPr>
        <xdr:cNvPr id="981" name="TextBox 980"/>
        <xdr:cNvSpPr txBox="1"/>
      </xdr:nvSpPr>
      <xdr:spPr>
        <a:xfrm>
          <a:off x="6705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2</xdr:col>
      <xdr:colOff>114300</xdr:colOff>
      <xdr:row>605</xdr:row>
      <xdr:rowOff>95250</xdr:rowOff>
    </xdr:to>
    <xdr:sp macro="" textlink="">
      <xdr:nvSpPr>
        <xdr:cNvPr id="982" name="TextBox 981"/>
        <xdr:cNvSpPr txBox="1"/>
      </xdr:nvSpPr>
      <xdr:spPr>
        <a:xfrm>
          <a:off x="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600</xdr:row>
      <xdr:rowOff>0</xdr:rowOff>
    </xdr:from>
    <xdr:to>
      <xdr:col>9</xdr:col>
      <xdr:colOff>114300</xdr:colOff>
      <xdr:row>605</xdr:row>
      <xdr:rowOff>95250</xdr:rowOff>
    </xdr:to>
    <xdr:sp macro="" textlink="">
      <xdr:nvSpPr>
        <xdr:cNvPr id="983" name="TextBox 982"/>
        <xdr:cNvSpPr txBox="1"/>
      </xdr:nvSpPr>
      <xdr:spPr>
        <a:xfrm>
          <a:off x="457200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600</xdr:row>
      <xdr:rowOff>0</xdr:rowOff>
    </xdr:from>
    <xdr:to>
      <xdr:col>5</xdr:col>
      <xdr:colOff>304800</xdr:colOff>
      <xdr:row>606</xdr:row>
      <xdr:rowOff>95250</xdr:rowOff>
    </xdr:to>
    <xdr:sp macro="" textlink="">
      <xdr:nvSpPr>
        <xdr:cNvPr id="984" name="TextBox 983"/>
        <xdr:cNvSpPr txBox="1"/>
      </xdr:nvSpPr>
      <xdr:spPr>
        <a:xfrm>
          <a:off x="2133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600</xdr:row>
      <xdr:rowOff>0</xdr:rowOff>
    </xdr:from>
    <xdr:to>
      <xdr:col>12</xdr:col>
      <xdr:colOff>304800</xdr:colOff>
      <xdr:row>606</xdr:row>
      <xdr:rowOff>95250</xdr:rowOff>
    </xdr:to>
    <xdr:sp macro="" textlink="">
      <xdr:nvSpPr>
        <xdr:cNvPr id="985" name="TextBox 984"/>
        <xdr:cNvSpPr txBox="1"/>
      </xdr:nvSpPr>
      <xdr:spPr>
        <a:xfrm>
          <a:off x="6705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630</xdr:row>
      <xdr:rowOff>0</xdr:rowOff>
    </xdr:from>
    <xdr:to>
      <xdr:col>2</xdr:col>
      <xdr:colOff>114300</xdr:colOff>
      <xdr:row>635</xdr:row>
      <xdr:rowOff>95250</xdr:rowOff>
    </xdr:to>
    <xdr:sp macro="" textlink="">
      <xdr:nvSpPr>
        <xdr:cNvPr id="986" name="TextBox 985"/>
        <xdr:cNvSpPr txBox="1"/>
      </xdr:nvSpPr>
      <xdr:spPr>
        <a:xfrm>
          <a:off x="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630</xdr:row>
      <xdr:rowOff>0</xdr:rowOff>
    </xdr:from>
    <xdr:to>
      <xdr:col>9</xdr:col>
      <xdr:colOff>114300</xdr:colOff>
      <xdr:row>635</xdr:row>
      <xdr:rowOff>95250</xdr:rowOff>
    </xdr:to>
    <xdr:sp macro="" textlink="">
      <xdr:nvSpPr>
        <xdr:cNvPr id="987" name="TextBox 986"/>
        <xdr:cNvSpPr txBox="1"/>
      </xdr:nvSpPr>
      <xdr:spPr>
        <a:xfrm>
          <a:off x="457200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630</xdr:row>
      <xdr:rowOff>0</xdr:rowOff>
    </xdr:from>
    <xdr:to>
      <xdr:col>5</xdr:col>
      <xdr:colOff>304800</xdr:colOff>
      <xdr:row>636</xdr:row>
      <xdr:rowOff>95250</xdr:rowOff>
    </xdr:to>
    <xdr:sp macro="" textlink="">
      <xdr:nvSpPr>
        <xdr:cNvPr id="988" name="TextBox 987"/>
        <xdr:cNvSpPr txBox="1"/>
      </xdr:nvSpPr>
      <xdr:spPr>
        <a:xfrm>
          <a:off x="2133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630</xdr:row>
      <xdr:rowOff>0</xdr:rowOff>
    </xdr:from>
    <xdr:to>
      <xdr:col>12</xdr:col>
      <xdr:colOff>304800</xdr:colOff>
      <xdr:row>636</xdr:row>
      <xdr:rowOff>95250</xdr:rowOff>
    </xdr:to>
    <xdr:sp macro="" textlink="">
      <xdr:nvSpPr>
        <xdr:cNvPr id="989" name="TextBox 988"/>
        <xdr:cNvSpPr txBox="1"/>
      </xdr:nvSpPr>
      <xdr:spPr>
        <a:xfrm>
          <a:off x="6705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660</xdr:row>
      <xdr:rowOff>0</xdr:rowOff>
    </xdr:from>
    <xdr:to>
      <xdr:col>2</xdr:col>
      <xdr:colOff>114300</xdr:colOff>
      <xdr:row>665</xdr:row>
      <xdr:rowOff>95250</xdr:rowOff>
    </xdr:to>
    <xdr:sp macro="" textlink="">
      <xdr:nvSpPr>
        <xdr:cNvPr id="990" name="TextBox 989"/>
        <xdr:cNvSpPr txBox="1"/>
      </xdr:nvSpPr>
      <xdr:spPr>
        <a:xfrm>
          <a:off x="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660</xdr:row>
      <xdr:rowOff>0</xdr:rowOff>
    </xdr:from>
    <xdr:to>
      <xdr:col>9</xdr:col>
      <xdr:colOff>114300</xdr:colOff>
      <xdr:row>665</xdr:row>
      <xdr:rowOff>95250</xdr:rowOff>
    </xdr:to>
    <xdr:sp macro="" textlink="">
      <xdr:nvSpPr>
        <xdr:cNvPr id="991" name="TextBox 990"/>
        <xdr:cNvSpPr txBox="1"/>
      </xdr:nvSpPr>
      <xdr:spPr>
        <a:xfrm>
          <a:off x="457200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660</xdr:row>
      <xdr:rowOff>0</xdr:rowOff>
    </xdr:from>
    <xdr:to>
      <xdr:col>5</xdr:col>
      <xdr:colOff>304800</xdr:colOff>
      <xdr:row>666</xdr:row>
      <xdr:rowOff>95250</xdr:rowOff>
    </xdr:to>
    <xdr:sp macro="" textlink="">
      <xdr:nvSpPr>
        <xdr:cNvPr id="992" name="TextBox 991"/>
        <xdr:cNvSpPr txBox="1"/>
      </xdr:nvSpPr>
      <xdr:spPr>
        <a:xfrm>
          <a:off x="2133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660</xdr:row>
      <xdr:rowOff>0</xdr:rowOff>
    </xdr:from>
    <xdr:to>
      <xdr:col>12</xdr:col>
      <xdr:colOff>304800</xdr:colOff>
      <xdr:row>666</xdr:row>
      <xdr:rowOff>95250</xdr:rowOff>
    </xdr:to>
    <xdr:sp macro="" textlink="">
      <xdr:nvSpPr>
        <xdr:cNvPr id="993" name="TextBox 992"/>
        <xdr:cNvSpPr txBox="1"/>
      </xdr:nvSpPr>
      <xdr:spPr>
        <a:xfrm>
          <a:off x="6705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690</xdr:row>
      <xdr:rowOff>0</xdr:rowOff>
    </xdr:from>
    <xdr:to>
      <xdr:col>2</xdr:col>
      <xdr:colOff>114300</xdr:colOff>
      <xdr:row>695</xdr:row>
      <xdr:rowOff>95250</xdr:rowOff>
    </xdr:to>
    <xdr:sp macro="" textlink="">
      <xdr:nvSpPr>
        <xdr:cNvPr id="994" name="TextBox 993"/>
        <xdr:cNvSpPr txBox="1"/>
      </xdr:nvSpPr>
      <xdr:spPr>
        <a:xfrm>
          <a:off x="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9</xdr:col>
      <xdr:colOff>114300</xdr:colOff>
      <xdr:row>695</xdr:row>
      <xdr:rowOff>95250</xdr:rowOff>
    </xdr:to>
    <xdr:sp macro="" textlink="">
      <xdr:nvSpPr>
        <xdr:cNvPr id="995" name="TextBox 994"/>
        <xdr:cNvSpPr txBox="1"/>
      </xdr:nvSpPr>
      <xdr:spPr>
        <a:xfrm>
          <a:off x="457200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690</xdr:row>
      <xdr:rowOff>0</xdr:rowOff>
    </xdr:from>
    <xdr:to>
      <xdr:col>5</xdr:col>
      <xdr:colOff>304800</xdr:colOff>
      <xdr:row>696</xdr:row>
      <xdr:rowOff>95250</xdr:rowOff>
    </xdr:to>
    <xdr:sp macro="" textlink="">
      <xdr:nvSpPr>
        <xdr:cNvPr id="996" name="TextBox 995"/>
        <xdr:cNvSpPr txBox="1"/>
      </xdr:nvSpPr>
      <xdr:spPr>
        <a:xfrm>
          <a:off x="2133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690</xdr:row>
      <xdr:rowOff>0</xdr:rowOff>
    </xdr:from>
    <xdr:to>
      <xdr:col>12</xdr:col>
      <xdr:colOff>304800</xdr:colOff>
      <xdr:row>696</xdr:row>
      <xdr:rowOff>95250</xdr:rowOff>
    </xdr:to>
    <xdr:sp macro="" textlink="">
      <xdr:nvSpPr>
        <xdr:cNvPr id="997" name="TextBox 996"/>
        <xdr:cNvSpPr txBox="1"/>
      </xdr:nvSpPr>
      <xdr:spPr>
        <a:xfrm>
          <a:off x="6705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720</xdr:row>
      <xdr:rowOff>0</xdr:rowOff>
    </xdr:from>
    <xdr:to>
      <xdr:col>2</xdr:col>
      <xdr:colOff>114300</xdr:colOff>
      <xdr:row>725</xdr:row>
      <xdr:rowOff>95250</xdr:rowOff>
    </xdr:to>
    <xdr:sp macro="" textlink="">
      <xdr:nvSpPr>
        <xdr:cNvPr id="998" name="TextBox 997"/>
        <xdr:cNvSpPr txBox="1"/>
      </xdr:nvSpPr>
      <xdr:spPr>
        <a:xfrm>
          <a:off x="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720</xdr:row>
      <xdr:rowOff>0</xdr:rowOff>
    </xdr:from>
    <xdr:to>
      <xdr:col>9</xdr:col>
      <xdr:colOff>114300</xdr:colOff>
      <xdr:row>725</xdr:row>
      <xdr:rowOff>95250</xdr:rowOff>
    </xdr:to>
    <xdr:sp macro="" textlink="">
      <xdr:nvSpPr>
        <xdr:cNvPr id="999" name="TextBox 998"/>
        <xdr:cNvSpPr txBox="1"/>
      </xdr:nvSpPr>
      <xdr:spPr>
        <a:xfrm>
          <a:off x="457200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720</xdr:row>
      <xdr:rowOff>0</xdr:rowOff>
    </xdr:from>
    <xdr:to>
      <xdr:col>5</xdr:col>
      <xdr:colOff>304800</xdr:colOff>
      <xdr:row>726</xdr:row>
      <xdr:rowOff>95250</xdr:rowOff>
    </xdr:to>
    <xdr:sp macro="" textlink="">
      <xdr:nvSpPr>
        <xdr:cNvPr id="1000" name="TextBox 999"/>
        <xdr:cNvSpPr txBox="1"/>
      </xdr:nvSpPr>
      <xdr:spPr>
        <a:xfrm>
          <a:off x="2133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720</xdr:row>
      <xdr:rowOff>0</xdr:rowOff>
    </xdr:from>
    <xdr:to>
      <xdr:col>12</xdr:col>
      <xdr:colOff>304800</xdr:colOff>
      <xdr:row>726</xdr:row>
      <xdr:rowOff>95250</xdr:rowOff>
    </xdr:to>
    <xdr:sp macro="" textlink="">
      <xdr:nvSpPr>
        <xdr:cNvPr id="1001" name="TextBox 1000"/>
        <xdr:cNvSpPr txBox="1"/>
      </xdr:nvSpPr>
      <xdr:spPr>
        <a:xfrm>
          <a:off x="6705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750</xdr:row>
      <xdr:rowOff>0</xdr:rowOff>
    </xdr:from>
    <xdr:to>
      <xdr:col>2</xdr:col>
      <xdr:colOff>114300</xdr:colOff>
      <xdr:row>755</xdr:row>
      <xdr:rowOff>95250</xdr:rowOff>
    </xdr:to>
    <xdr:sp macro="" textlink="">
      <xdr:nvSpPr>
        <xdr:cNvPr id="1002" name="TextBox 1001"/>
        <xdr:cNvSpPr txBox="1"/>
      </xdr:nvSpPr>
      <xdr:spPr>
        <a:xfrm>
          <a:off x="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750</xdr:row>
      <xdr:rowOff>0</xdr:rowOff>
    </xdr:from>
    <xdr:to>
      <xdr:col>9</xdr:col>
      <xdr:colOff>114300</xdr:colOff>
      <xdr:row>755</xdr:row>
      <xdr:rowOff>95250</xdr:rowOff>
    </xdr:to>
    <xdr:sp macro="" textlink="">
      <xdr:nvSpPr>
        <xdr:cNvPr id="1003" name="TextBox 1002"/>
        <xdr:cNvSpPr txBox="1"/>
      </xdr:nvSpPr>
      <xdr:spPr>
        <a:xfrm>
          <a:off x="457200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750</xdr:row>
      <xdr:rowOff>0</xdr:rowOff>
    </xdr:from>
    <xdr:to>
      <xdr:col>5</xdr:col>
      <xdr:colOff>304800</xdr:colOff>
      <xdr:row>756</xdr:row>
      <xdr:rowOff>95250</xdr:rowOff>
    </xdr:to>
    <xdr:sp macro="" textlink="">
      <xdr:nvSpPr>
        <xdr:cNvPr id="1004" name="TextBox 1003"/>
        <xdr:cNvSpPr txBox="1"/>
      </xdr:nvSpPr>
      <xdr:spPr>
        <a:xfrm>
          <a:off x="2133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750</xdr:row>
      <xdr:rowOff>0</xdr:rowOff>
    </xdr:from>
    <xdr:to>
      <xdr:col>12</xdr:col>
      <xdr:colOff>304800</xdr:colOff>
      <xdr:row>756</xdr:row>
      <xdr:rowOff>95250</xdr:rowOff>
    </xdr:to>
    <xdr:sp macro="" textlink="">
      <xdr:nvSpPr>
        <xdr:cNvPr id="1005" name="TextBox 1004"/>
        <xdr:cNvSpPr txBox="1"/>
      </xdr:nvSpPr>
      <xdr:spPr>
        <a:xfrm>
          <a:off x="6705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780</xdr:row>
      <xdr:rowOff>0</xdr:rowOff>
    </xdr:from>
    <xdr:to>
      <xdr:col>2</xdr:col>
      <xdr:colOff>114300</xdr:colOff>
      <xdr:row>785</xdr:row>
      <xdr:rowOff>95250</xdr:rowOff>
    </xdr:to>
    <xdr:sp macro="" textlink="">
      <xdr:nvSpPr>
        <xdr:cNvPr id="1006" name="TextBox 1005"/>
        <xdr:cNvSpPr txBox="1"/>
      </xdr:nvSpPr>
      <xdr:spPr>
        <a:xfrm>
          <a:off x="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780</xdr:row>
      <xdr:rowOff>0</xdr:rowOff>
    </xdr:from>
    <xdr:to>
      <xdr:col>9</xdr:col>
      <xdr:colOff>114300</xdr:colOff>
      <xdr:row>785</xdr:row>
      <xdr:rowOff>95250</xdr:rowOff>
    </xdr:to>
    <xdr:sp macro="" textlink="">
      <xdr:nvSpPr>
        <xdr:cNvPr id="1007" name="TextBox 1006"/>
        <xdr:cNvSpPr txBox="1"/>
      </xdr:nvSpPr>
      <xdr:spPr>
        <a:xfrm>
          <a:off x="457200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780</xdr:row>
      <xdr:rowOff>0</xdr:rowOff>
    </xdr:from>
    <xdr:to>
      <xdr:col>5</xdr:col>
      <xdr:colOff>304800</xdr:colOff>
      <xdr:row>786</xdr:row>
      <xdr:rowOff>95250</xdr:rowOff>
    </xdr:to>
    <xdr:sp macro="" textlink="">
      <xdr:nvSpPr>
        <xdr:cNvPr id="1008" name="TextBox 1007"/>
        <xdr:cNvSpPr txBox="1"/>
      </xdr:nvSpPr>
      <xdr:spPr>
        <a:xfrm>
          <a:off x="2133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780</xdr:row>
      <xdr:rowOff>0</xdr:rowOff>
    </xdr:from>
    <xdr:to>
      <xdr:col>12</xdr:col>
      <xdr:colOff>304800</xdr:colOff>
      <xdr:row>786</xdr:row>
      <xdr:rowOff>95250</xdr:rowOff>
    </xdr:to>
    <xdr:sp macro="" textlink="">
      <xdr:nvSpPr>
        <xdr:cNvPr id="1009" name="TextBox 1008"/>
        <xdr:cNvSpPr txBox="1"/>
      </xdr:nvSpPr>
      <xdr:spPr>
        <a:xfrm>
          <a:off x="6705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810</xdr:row>
      <xdr:rowOff>0</xdr:rowOff>
    </xdr:from>
    <xdr:to>
      <xdr:col>2</xdr:col>
      <xdr:colOff>114300</xdr:colOff>
      <xdr:row>815</xdr:row>
      <xdr:rowOff>95250</xdr:rowOff>
    </xdr:to>
    <xdr:sp macro="" textlink="">
      <xdr:nvSpPr>
        <xdr:cNvPr id="1010" name="TextBox 1009"/>
        <xdr:cNvSpPr txBox="1"/>
      </xdr:nvSpPr>
      <xdr:spPr>
        <a:xfrm>
          <a:off x="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810</xdr:row>
      <xdr:rowOff>0</xdr:rowOff>
    </xdr:from>
    <xdr:to>
      <xdr:col>9</xdr:col>
      <xdr:colOff>114300</xdr:colOff>
      <xdr:row>815</xdr:row>
      <xdr:rowOff>95250</xdr:rowOff>
    </xdr:to>
    <xdr:sp macro="" textlink="">
      <xdr:nvSpPr>
        <xdr:cNvPr id="1011" name="TextBox 1010"/>
        <xdr:cNvSpPr txBox="1"/>
      </xdr:nvSpPr>
      <xdr:spPr>
        <a:xfrm>
          <a:off x="457200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810</xdr:row>
      <xdr:rowOff>0</xdr:rowOff>
    </xdr:from>
    <xdr:to>
      <xdr:col>5</xdr:col>
      <xdr:colOff>304800</xdr:colOff>
      <xdr:row>816</xdr:row>
      <xdr:rowOff>95250</xdr:rowOff>
    </xdr:to>
    <xdr:sp macro="" textlink="">
      <xdr:nvSpPr>
        <xdr:cNvPr id="1012" name="TextBox 1011"/>
        <xdr:cNvSpPr txBox="1"/>
      </xdr:nvSpPr>
      <xdr:spPr>
        <a:xfrm>
          <a:off x="2133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810</xdr:row>
      <xdr:rowOff>0</xdr:rowOff>
    </xdr:from>
    <xdr:to>
      <xdr:col>12</xdr:col>
      <xdr:colOff>304800</xdr:colOff>
      <xdr:row>816</xdr:row>
      <xdr:rowOff>95250</xdr:rowOff>
    </xdr:to>
    <xdr:sp macro="" textlink="">
      <xdr:nvSpPr>
        <xdr:cNvPr id="1013" name="TextBox 1012"/>
        <xdr:cNvSpPr txBox="1"/>
      </xdr:nvSpPr>
      <xdr:spPr>
        <a:xfrm>
          <a:off x="6705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840</xdr:row>
      <xdr:rowOff>0</xdr:rowOff>
    </xdr:from>
    <xdr:to>
      <xdr:col>2</xdr:col>
      <xdr:colOff>114300</xdr:colOff>
      <xdr:row>845</xdr:row>
      <xdr:rowOff>95250</xdr:rowOff>
    </xdr:to>
    <xdr:sp macro="" textlink="">
      <xdr:nvSpPr>
        <xdr:cNvPr id="1014" name="TextBox 1013"/>
        <xdr:cNvSpPr txBox="1"/>
      </xdr:nvSpPr>
      <xdr:spPr>
        <a:xfrm>
          <a:off x="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9</xdr:col>
      <xdr:colOff>114300</xdr:colOff>
      <xdr:row>845</xdr:row>
      <xdr:rowOff>95250</xdr:rowOff>
    </xdr:to>
    <xdr:sp macro="" textlink="">
      <xdr:nvSpPr>
        <xdr:cNvPr id="1015" name="TextBox 1014"/>
        <xdr:cNvSpPr txBox="1"/>
      </xdr:nvSpPr>
      <xdr:spPr>
        <a:xfrm>
          <a:off x="457200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840</xdr:row>
      <xdr:rowOff>0</xdr:rowOff>
    </xdr:from>
    <xdr:to>
      <xdr:col>5</xdr:col>
      <xdr:colOff>304800</xdr:colOff>
      <xdr:row>846</xdr:row>
      <xdr:rowOff>95250</xdr:rowOff>
    </xdr:to>
    <xdr:sp macro="" textlink="">
      <xdr:nvSpPr>
        <xdr:cNvPr id="1016" name="TextBox 1015"/>
        <xdr:cNvSpPr txBox="1"/>
      </xdr:nvSpPr>
      <xdr:spPr>
        <a:xfrm>
          <a:off x="2133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840</xdr:row>
      <xdr:rowOff>0</xdr:rowOff>
    </xdr:from>
    <xdr:to>
      <xdr:col>12</xdr:col>
      <xdr:colOff>304800</xdr:colOff>
      <xdr:row>846</xdr:row>
      <xdr:rowOff>95250</xdr:rowOff>
    </xdr:to>
    <xdr:sp macro="" textlink="">
      <xdr:nvSpPr>
        <xdr:cNvPr id="1017" name="TextBox 1016"/>
        <xdr:cNvSpPr txBox="1"/>
      </xdr:nvSpPr>
      <xdr:spPr>
        <a:xfrm>
          <a:off x="6705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870</xdr:row>
      <xdr:rowOff>0</xdr:rowOff>
    </xdr:from>
    <xdr:to>
      <xdr:col>2</xdr:col>
      <xdr:colOff>114300</xdr:colOff>
      <xdr:row>875</xdr:row>
      <xdr:rowOff>95250</xdr:rowOff>
    </xdr:to>
    <xdr:sp macro="" textlink="">
      <xdr:nvSpPr>
        <xdr:cNvPr id="1018" name="TextBox 1017"/>
        <xdr:cNvSpPr txBox="1"/>
      </xdr:nvSpPr>
      <xdr:spPr>
        <a:xfrm>
          <a:off x="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870</xdr:row>
      <xdr:rowOff>0</xdr:rowOff>
    </xdr:from>
    <xdr:to>
      <xdr:col>9</xdr:col>
      <xdr:colOff>114300</xdr:colOff>
      <xdr:row>875</xdr:row>
      <xdr:rowOff>95250</xdr:rowOff>
    </xdr:to>
    <xdr:sp macro="" textlink="">
      <xdr:nvSpPr>
        <xdr:cNvPr id="1019" name="TextBox 1018"/>
        <xdr:cNvSpPr txBox="1"/>
      </xdr:nvSpPr>
      <xdr:spPr>
        <a:xfrm>
          <a:off x="457200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870</xdr:row>
      <xdr:rowOff>0</xdr:rowOff>
    </xdr:from>
    <xdr:to>
      <xdr:col>5</xdr:col>
      <xdr:colOff>304800</xdr:colOff>
      <xdr:row>876</xdr:row>
      <xdr:rowOff>95250</xdr:rowOff>
    </xdr:to>
    <xdr:sp macro="" textlink="">
      <xdr:nvSpPr>
        <xdr:cNvPr id="1020" name="TextBox 1019"/>
        <xdr:cNvSpPr txBox="1"/>
      </xdr:nvSpPr>
      <xdr:spPr>
        <a:xfrm>
          <a:off x="2133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870</xdr:row>
      <xdr:rowOff>0</xdr:rowOff>
    </xdr:from>
    <xdr:to>
      <xdr:col>12</xdr:col>
      <xdr:colOff>304800</xdr:colOff>
      <xdr:row>876</xdr:row>
      <xdr:rowOff>95250</xdr:rowOff>
    </xdr:to>
    <xdr:sp macro="" textlink="">
      <xdr:nvSpPr>
        <xdr:cNvPr id="1021" name="TextBox 1020"/>
        <xdr:cNvSpPr txBox="1"/>
      </xdr:nvSpPr>
      <xdr:spPr>
        <a:xfrm>
          <a:off x="6705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900</xdr:row>
      <xdr:rowOff>0</xdr:rowOff>
    </xdr:from>
    <xdr:to>
      <xdr:col>2</xdr:col>
      <xdr:colOff>114300</xdr:colOff>
      <xdr:row>905</xdr:row>
      <xdr:rowOff>95250</xdr:rowOff>
    </xdr:to>
    <xdr:sp macro="" textlink="">
      <xdr:nvSpPr>
        <xdr:cNvPr id="1022" name="TextBox 1021"/>
        <xdr:cNvSpPr txBox="1"/>
      </xdr:nvSpPr>
      <xdr:spPr>
        <a:xfrm>
          <a:off x="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900</xdr:row>
      <xdr:rowOff>0</xdr:rowOff>
    </xdr:from>
    <xdr:to>
      <xdr:col>9</xdr:col>
      <xdr:colOff>114300</xdr:colOff>
      <xdr:row>905</xdr:row>
      <xdr:rowOff>95250</xdr:rowOff>
    </xdr:to>
    <xdr:sp macro="" textlink="">
      <xdr:nvSpPr>
        <xdr:cNvPr id="1023" name="TextBox 1022"/>
        <xdr:cNvSpPr txBox="1"/>
      </xdr:nvSpPr>
      <xdr:spPr>
        <a:xfrm>
          <a:off x="457200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900</xdr:row>
      <xdr:rowOff>0</xdr:rowOff>
    </xdr:from>
    <xdr:to>
      <xdr:col>5</xdr:col>
      <xdr:colOff>304800</xdr:colOff>
      <xdr:row>906</xdr:row>
      <xdr:rowOff>95250</xdr:rowOff>
    </xdr:to>
    <xdr:sp macro="" textlink="">
      <xdr:nvSpPr>
        <xdr:cNvPr id="1024" name="TextBox 1023"/>
        <xdr:cNvSpPr txBox="1"/>
      </xdr:nvSpPr>
      <xdr:spPr>
        <a:xfrm>
          <a:off x="2133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900</xdr:row>
      <xdr:rowOff>0</xdr:rowOff>
    </xdr:from>
    <xdr:to>
      <xdr:col>12</xdr:col>
      <xdr:colOff>304800</xdr:colOff>
      <xdr:row>906</xdr:row>
      <xdr:rowOff>95250</xdr:rowOff>
    </xdr:to>
    <xdr:sp macro="" textlink="">
      <xdr:nvSpPr>
        <xdr:cNvPr id="1025" name="TextBox 1024"/>
        <xdr:cNvSpPr txBox="1"/>
      </xdr:nvSpPr>
      <xdr:spPr>
        <a:xfrm>
          <a:off x="6705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930</xdr:row>
      <xdr:rowOff>0</xdr:rowOff>
    </xdr:from>
    <xdr:to>
      <xdr:col>2</xdr:col>
      <xdr:colOff>114300</xdr:colOff>
      <xdr:row>935</xdr:row>
      <xdr:rowOff>95250</xdr:rowOff>
    </xdr:to>
    <xdr:sp macro="" textlink="">
      <xdr:nvSpPr>
        <xdr:cNvPr id="1026" name="TextBox 1025"/>
        <xdr:cNvSpPr txBox="1"/>
      </xdr:nvSpPr>
      <xdr:spPr>
        <a:xfrm>
          <a:off x="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930</xdr:row>
      <xdr:rowOff>0</xdr:rowOff>
    </xdr:from>
    <xdr:to>
      <xdr:col>9</xdr:col>
      <xdr:colOff>114300</xdr:colOff>
      <xdr:row>935</xdr:row>
      <xdr:rowOff>95250</xdr:rowOff>
    </xdr:to>
    <xdr:sp macro="" textlink="">
      <xdr:nvSpPr>
        <xdr:cNvPr id="1027" name="TextBox 1026"/>
        <xdr:cNvSpPr txBox="1"/>
      </xdr:nvSpPr>
      <xdr:spPr>
        <a:xfrm>
          <a:off x="457200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930</xdr:row>
      <xdr:rowOff>0</xdr:rowOff>
    </xdr:from>
    <xdr:to>
      <xdr:col>5</xdr:col>
      <xdr:colOff>304800</xdr:colOff>
      <xdr:row>936</xdr:row>
      <xdr:rowOff>95250</xdr:rowOff>
    </xdr:to>
    <xdr:sp macro="" textlink="">
      <xdr:nvSpPr>
        <xdr:cNvPr id="1028" name="TextBox 1027"/>
        <xdr:cNvSpPr txBox="1"/>
      </xdr:nvSpPr>
      <xdr:spPr>
        <a:xfrm>
          <a:off x="2133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930</xdr:row>
      <xdr:rowOff>0</xdr:rowOff>
    </xdr:from>
    <xdr:to>
      <xdr:col>12</xdr:col>
      <xdr:colOff>304800</xdr:colOff>
      <xdr:row>936</xdr:row>
      <xdr:rowOff>95250</xdr:rowOff>
    </xdr:to>
    <xdr:sp macro="" textlink="">
      <xdr:nvSpPr>
        <xdr:cNvPr id="1029" name="TextBox 1028"/>
        <xdr:cNvSpPr txBox="1"/>
      </xdr:nvSpPr>
      <xdr:spPr>
        <a:xfrm>
          <a:off x="6705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960</xdr:row>
      <xdr:rowOff>0</xdr:rowOff>
    </xdr:from>
    <xdr:to>
      <xdr:col>2</xdr:col>
      <xdr:colOff>114300</xdr:colOff>
      <xdr:row>965</xdr:row>
      <xdr:rowOff>95250</xdr:rowOff>
    </xdr:to>
    <xdr:sp macro="" textlink="">
      <xdr:nvSpPr>
        <xdr:cNvPr id="1030" name="TextBox 1029"/>
        <xdr:cNvSpPr txBox="1"/>
      </xdr:nvSpPr>
      <xdr:spPr>
        <a:xfrm>
          <a:off x="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960</xdr:row>
      <xdr:rowOff>0</xdr:rowOff>
    </xdr:from>
    <xdr:to>
      <xdr:col>9</xdr:col>
      <xdr:colOff>114300</xdr:colOff>
      <xdr:row>965</xdr:row>
      <xdr:rowOff>95250</xdr:rowOff>
    </xdr:to>
    <xdr:sp macro="" textlink="">
      <xdr:nvSpPr>
        <xdr:cNvPr id="1031" name="TextBox 1030"/>
        <xdr:cNvSpPr txBox="1"/>
      </xdr:nvSpPr>
      <xdr:spPr>
        <a:xfrm>
          <a:off x="457200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960</xdr:row>
      <xdr:rowOff>0</xdr:rowOff>
    </xdr:from>
    <xdr:to>
      <xdr:col>5</xdr:col>
      <xdr:colOff>304800</xdr:colOff>
      <xdr:row>966</xdr:row>
      <xdr:rowOff>95250</xdr:rowOff>
    </xdr:to>
    <xdr:sp macro="" textlink="">
      <xdr:nvSpPr>
        <xdr:cNvPr id="1032" name="TextBox 1031"/>
        <xdr:cNvSpPr txBox="1"/>
      </xdr:nvSpPr>
      <xdr:spPr>
        <a:xfrm>
          <a:off x="2133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960</xdr:row>
      <xdr:rowOff>0</xdr:rowOff>
    </xdr:from>
    <xdr:to>
      <xdr:col>12</xdr:col>
      <xdr:colOff>304800</xdr:colOff>
      <xdr:row>966</xdr:row>
      <xdr:rowOff>95250</xdr:rowOff>
    </xdr:to>
    <xdr:sp macro="" textlink="">
      <xdr:nvSpPr>
        <xdr:cNvPr id="1033" name="TextBox 1032"/>
        <xdr:cNvSpPr txBox="1"/>
      </xdr:nvSpPr>
      <xdr:spPr>
        <a:xfrm>
          <a:off x="6705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990</xdr:row>
      <xdr:rowOff>0</xdr:rowOff>
    </xdr:from>
    <xdr:to>
      <xdr:col>2</xdr:col>
      <xdr:colOff>114300</xdr:colOff>
      <xdr:row>995</xdr:row>
      <xdr:rowOff>95250</xdr:rowOff>
    </xdr:to>
    <xdr:sp macro="" textlink="">
      <xdr:nvSpPr>
        <xdr:cNvPr id="1034" name="TextBox 1033"/>
        <xdr:cNvSpPr txBox="1"/>
      </xdr:nvSpPr>
      <xdr:spPr>
        <a:xfrm>
          <a:off x="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990</xdr:row>
      <xdr:rowOff>0</xdr:rowOff>
    </xdr:from>
    <xdr:to>
      <xdr:col>9</xdr:col>
      <xdr:colOff>114300</xdr:colOff>
      <xdr:row>995</xdr:row>
      <xdr:rowOff>95250</xdr:rowOff>
    </xdr:to>
    <xdr:sp macro="" textlink="">
      <xdr:nvSpPr>
        <xdr:cNvPr id="1035" name="TextBox 1034"/>
        <xdr:cNvSpPr txBox="1"/>
      </xdr:nvSpPr>
      <xdr:spPr>
        <a:xfrm>
          <a:off x="457200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990</xdr:row>
      <xdr:rowOff>0</xdr:rowOff>
    </xdr:from>
    <xdr:to>
      <xdr:col>5</xdr:col>
      <xdr:colOff>304800</xdr:colOff>
      <xdr:row>996</xdr:row>
      <xdr:rowOff>95250</xdr:rowOff>
    </xdr:to>
    <xdr:sp macro="" textlink="">
      <xdr:nvSpPr>
        <xdr:cNvPr id="1036" name="TextBox 1035"/>
        <xdr:cNvSpPr txBox="1"/>
      </xdr:nvSpPr>
      <xdr:spPr>
        <a:xfrm>
          <a:off x="2133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990</xdr:row>
      <xdr:rowOff>0</xdr:rowOff>
    </xdr:from>
    <xdr:to>
      <xdr:col>12</xdr:col>
      <xdr:colOff>304800</xdr:colOff>
      <xdr:row>996</xdr:row>
      <xdr:rowOff>95250</xdr:rowOff>
    </xdr:to>
    <xdr:sp macro="" textlink="">
      <xdr:nvSpPr>
        <xdr:cNvPr id="1037" name="TextBox 1036"/>
        <xdr:cNvSpPr txBox="1"/>
      </xdr:nvSpPr>
      <xdr:spPr>
        <a:xfrm>
          <a:off x="6705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1020</xdr:row>
      <xdr:rowOff>0</xdr:rowOff>
    </xdr:from>
    <xdr:to>
      <xdr:col>2</xdr:col>
      <xdr:colOff>114300</xdr:colOff>
      <xdr:row>1025</xdr:row>
      <xdr:rowOff>95250</xdr:rowOff>
    </xdr:to>
    <xdr:sp macro="" textlink="">
      <xdr:nvSpPr>
        <xdr:cNvPr id="1038" name="TextBox 1037"/>
        <xdr:cNvSpPr txBox="1"/>
      </xdr:nvSpPr>
      <xdr:spPr>
        <a:xfrm>
          <a:off x="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1020</xdr:row>
      <xdr:rowOff>0</xdr:rowOff>
    </xdr:from>
    <xdr:to>
      <xdr:col>9</xdr:col>
      <xdr:colOff>114300</xdr:colOff>
      <xdr:row>1025</xdr:row>
      <xdr:rowOff>95250</xdr:rowOff>
    </xdr:to>
    <xdr:sp macro="" textlink="">
      <xdr:nvSpPr>
        <xdr:cNvPr id="1039" name="TextBox 1038"/>
        <xdr:cNvSpPr txBox="1"/>
      </xdr:nvSpPr>
      <xdr:spPr>
        <a:xfrm>
          <a:off x="457200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5</xdr:col>
      <xdr:colOff>304800</xdr:colOff>
      <xdr:row>1026</xdr:row>
      <xdr:rowOff>95250</xdr:rowOff>
    </xdr:to>
    <xdr:sp macro="" textlink="">
      <xdr:nvSpPr>
        <xdr:cNvPr id="1040" name="TextBox 1039"/>
        <xdr:cNvSpPr txBox="1"/>
      </xdr:nvSpPr>
      <xdr:spPr>
        <a:xfrm>
          <a:off x="2133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1020</xdr:row>
      <xdr:rowOff>0</xdr:rowOff>
    </xdr:from>
    <xdr:to>
      <xdr:col>12</xdr:col>
      <xdr:colOff>304800</xdr:colOff>
      <xdr:row>1026</xdr:row>
      <xdr:rowOff>95250</xdr:rowOff>
    </xdr:to>
    <xdr:sp macro="" textlink="">
      <xdr:nvSpPr>
        <xdr:cNvPr id="1041" name="TextBox 1040"/>
        <xdr:cNvSpPr txBox="1"/>
      </xdr:nvSpPr>
      <xdr:spPr>
        <a:xfrm>
          <a:off x="6705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1050</xdr:row>
      <xdr:rowOff>0</xdr:rowOff>
    </xdr:from>
    <xdr:to>
      <xdr:col>2</xdr:col>
      <xdr:colOff>114300</xdr:colOff>
      <xdr:row>1055</xdr:row>
      <xdr:rowOff>95250</xdr:rowOff>
    </xdr:to>
    <xdr:sp macro="" textlink="">
      <xdr:nvSpPr>
        <xdr:cNvPr id="1042" name="TextBox 1041"/>
        <xdr:cNvSpPr txBox="1"/>
      </xdr:nvSpPr>
      <xdr:spPr>
        <a:xfrm>
          <a:off x="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1050</xdr:row>
      <xdr:rowOff>0</xdr:rowOff>
    </xdr:from>
    <xdr:to>
      <xdr:col>9</xdr:col>
      <xdr:colOff>114300</xdr:colOff>
      <xdr:row>1055</xdr:row>
      <xdr:rowOff>95250</xdr:rowOff>
    </xdr:to>
    <xdr:sp macro="" textlink="">
      <xdr:nvSpPr>
        <xdr:cNvPr id="1043" name="TextBox 1042"/>
        <xdr:cNvSpPr txBox="1"/>
      </xdr:nvSpPr>
      <xdr:spPr>
        <a:xfrm>
          <a:off x="457200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1050</xdr:row>
      <xdr:rowOff>0</xdr:rowOff>
    </xdr:from>
    <xdr:to>
      <xdr:col>5</xdr:col>
      <xdr:colOff>304800</xdr:colOff>
      <xdr:row>1056</xdr:row>
      <xdr:rowOff>95250</xdr:rowOff>
    </xdr:to>
    <xdr:sp macro="" textlink="">
      <xdr:nvSpPr>
        <xdr:cNvPr id="1044" name="TextBox 1043"/>
        <xdr:cNvSpPr txBox="1"/>
      </xdr:nvSpPr>
      <xdr:spPr>
        <a:xfrm>
          <a:off x="2133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1050</xdr:row>
      <xdr:rowOff>0</xdr:rowOff>
    </xdr:from>
    <xdr:to>
      <xdr:col>12</xdr:col>
      <xdr:colOff>304800</xdr:colOff>
      <xdr:row>1056</xdr:row>
      <xdr:rowOff>95250</xdr:rowOff>
    </xdr:to>
    <xdr:sp macro="" textlink="">
      <xdr:nvSpPr>
        <xdr:cNvPr id="1045" name="TextBox 1044"/>
        <xdr:cNvSpPr txBox="1"/>
      </xdr:nvSpPr>
      <xdr:spPr>
        <a:xfrm>
          <a:off x="6705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1080</xdr:row>
      <xdr:rowOff>0</xdr:rowOff>
    </xdr:from>
    <xdr:to>
      <xdr:col>2</xdr:col>
      <xdr:colOff>114300</xdr:colOff>
      <xdr:row>1085</xdr:row>
      <xdr:rowOff>95250</xdr:rowOff>
    </xdr:to>
    <xdr:sp macro="" textlink="">
      <xdr:nvSpPr>
        <xdr:cNvPr id="1046" name="TextBox 1045"/>
        <xdr:cNvSpPr txBox="1"/>
      </xdr:nvSpPr>
      <xdr:spPr>
        <a:xfrm>
          <a:off x="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1080</xdr:row>
      <xdr:rowOff>0</xdr:rowOff>
    </xdr:from>
    <xdr:to>
      <xdr:col>9</xdr:col>
      <xdr:colOff>114300</xdr:colOff>
      <xdr:row>1085</xdr:row>
      <xdr:rowOff>95250</xdr:rowOff>
    </xdr:to>
    <xdr:sp macro="" textlink="">
      <xdr:nvSpPr>
        <xdr:cNvPr id="1047" name="TextBox 1046"/>
        <xdr:cNvSpPr txBox="1"/>
      </xdr:nvSpPr>
      <xdr:spPr>
        <a:xfrm>
          <a:off x="457200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1080</xdr:row>
      <xdr:rowOff>0</xdr:rowOff>
    </xdr:from>
    <xdr:to>
      <xdr:col>5</xdr:col>
      <xdr:colOff>304800</xdr:colOff>
      <xdr:row>1086</xdr:row>
      <xdr:rowOff>95250</xdr:rowOff>
    </xdr:to>
    <xdr:sp macro="" textlink="">
      <xdr:nvSpPr>
        <xdr:cNvPr id="1048" name="TextBox 1047"/>
        <xdr:cNvSpPr txBox="1"/>
      </xdr:nvSpPr>
      <xdr:spPr>
        <a:xfrm>
          <a:off x="2133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1080</xdr:row>
      <xdr:rowOff>0</xdr:rowOff>
    </xdr:from>
    <xdr:to>
      <xdr:col>12</xdr:col>
      <xdr:colOff>304800</xdr:colOff>
      <xdr:row>1086</xdr:row>
      <xdr:rowOff>95250</xdr:rowOff>
    </xdr:to>
    <xdr:sp macro="" textlink="">
      <xdr:nvSpPr>
        <xdr:cNvPr id="1049" name="TextBox 1048"/>
        <xdr:cNvSpPr txBox="1"/>
      </xdr:nvSpPr>
      <xdr:spPr>
        <a:xfrm>
          <a:off x="6705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1110</xdr:row>
      <xdr:rowOff>0</xdr:rowOff>
    </xdr:from>
    <xdr:to>
      <xdr:col>2</xdr:col>
      <xdr:colOff>114300</xdr:colOff>
      <xdr:row>1115</xdr:row>
      <xdr:rowOff>95250</xdr:rowOff>
    </xdr:to>
    <xdr:sp macro="" textlink="">
      <xdr:nvSpPr>
        <xdr:cNvPr id="1050" name="TextBox 1049"/>
        <xdr:cNvSpPr txBox="1"/>
      </xdr:nvSpPr>
      <xdr:spPr>
        <a:xfrm>
          <a:off x="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1110</xdr:row>
      <xdr:rowOff>0</xdr:rowOff>
    </xdr:from>
    <xdr:to>
      <xdr:col>9</xdr:col>
      <xdr:colOff>114300</xdr:colOff>
      <xdr:row>1115</xdr:row>
      <xdr:rowOff>95250</xdr:rowOff>
    </xdr:to>
    <xdr:sp macro="" textlink="">
      <xdr:nvSpPr>
        <xdr:cNvPr id="1051" name="TextBox 1050"/>
        <xdr:cNvSpPr txBox="1"/>
      </xdr:nvSpPr>
      <xdr:spPr>
        <a:xfrm>
          <a:off x="457200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1110</xdr:row>
      <xdr:rowOff>0</xdr:rowOff>
    </xdr:from>
    <xdr:to>
      <xdr:col>5</xdr:col>
      <xdr:colOff>304800</xdr:colOff>
      <xdr:row>1116</xdr:row>
      <xdr:rowOff>95250</xdr:rowOff>
    </xdr:to>
    <xdr:sp macro="" textlink="">
      <xdr:nvSpPr>
        <xdr:cNvPr id="1052" name="TextBox 1051"/>
        <xdr:cNvSpPr txBox="1"/>
      </xdr:nvSpPr>
      <xdr:spPr>
        <a:xfrm>
          <a:off x="2133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1110</xdr:row>
      <xdr:rowOff>0</xdr:rowOff>
    </xdr:from>
    <xdr:to>
      <xdr:col>12</xdr:col>
      <xdr:colOff>304800</xdr:colOff>
      <xdr:row>1116</xdr:row>
      <xdr:rowOff>95250</xdr:rowOff>
    </xdr:to>
    <xdr:sp macro="" textlink="">
      <xdr:nvSpPr>
        <xdr:cNvPr id="1053" name="TextBox 1052"/>
        <xdr:cNvSpPr txBox="1"/>
      </xdr:nvSpPr>
      <xdr:spPr>
        <a:xfrm>
          <a:off x="6705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1140</xdr:row>
      <xdr:rowOff>0</xdr:rowOff>
    </xdr:from>
    <xdr:to>
      <xdr:col>2</xdr:col>
      <xdr:colOff>114300</xdr:colOff>
      <xdr:row>1145</xdr:row>
      <xdr:rowOff>95250</xdr:rowOff>
    </xdr:to>
    <xdr:sp macro="" textlink="">
      <xdr:nvSpPr>
        <xdr:cNvPr id="1054" name="TextBox 1053"/>
        <xdr:cNvSpPr txBox="1"/>
      </xdr:nvSpPr>
      <xdr:spPr>
        <a:xfrm>
          <a:off x="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1140</xdr:row>
      <xdr:rowOff>0</xdr:rowOff>
    </xdr:from>
    <xdr:to>
      <xdr:col>9</xdr:col>
      <xdr:colOff>114300</xdr:colOff>
      <xdr:row>1145</xdr:row>
      <xdr:rowOff>95250</xdr:rowOff>
    </xdr:to>
    <xdr:sp macro="" textlink="">
      <xdr:nvSpPr>
        <xdr:cNvPr id="1055" name="TextBox 1054"/>
        <xdr:cNvSpPr txBox="1"/>
      </xdr:nvSpPr>
      <xdr:spPr>
        <a:xfrm>
          <a:off x="457200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1140</xdr:row>
      <xdr:rowOff>0</xdr:rowOff>
    </xdr:from>
    <xdr:to>
      <xdr:col>5</xdr:col>
      <xdr:colOff>304800</xdr:colOff>
      <xdr:row>1146</xdr:row>
      <xdr:rowOff>95250</xdr:rowOff>
    </xdr:to>
    <xdr:sp macro="" textlink="">
      <xdr:nvSpPr>
        <xdr:cNvPr id="1056" name="TextBox 1055"/>
        <xdr:cNvSpPr txBox="1"/>
      </xdr:nvSpPr>
      <xdr:spPr>
        <a:xfrm>
          <a:off x="2133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1140</xdr:row>
      <xdr:rowOff>0</xdr:rowOff>
    </xdr:from>
    <xdr:to>
      <xdr:col>12</xdr:col>
      <xdr:colOff>304800</xdr:colOff>
      <xdr:row>1146</xdr:row>
      <xdr:rowOff>95250</xdr:rowOff>
    </xdr:to>
    <xdr:sp macro="" textlink="">
      <xdr:nvSpPr>
        <xdr:cNvPr id="1057" name="TextBox 1056"/>
        <xdr:cNvSpPr txBox="1"/>
      </xdr:nvSpPr>
      <xdr:spPr>
        <a:xfrm>
          <a:off x="6705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1170</xdr:row>
      <xdr:rowOff>0</xdr:rowOff>
    </xdr:from>
    <xdr:to>
      <xdr:col>2</xdr:col>
      <xdr:colOff>114300</xdr:colOff>
      <xdr:row>1175</xdr:row>
      <xdr:rowOff>95250</xdr:rowOff>
    </xdr:to>
    <xdr:sp macro="" textlink="">
      <xdr:nvSpPr>
        <xdr:cNvPr id="1058" name="TextBox 1057"/>
        <xdr:cNvSpPr txBox="1"/>
      </xdr:nvSpPr>
      <xdr:spPr>
        <a:xfrm>
          <a:off x="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1170</xdr:row>
      <xdr:rowOff>0</xdr:rowOff>
    </xdr:from>
    <xdr:to>
      <xdr:col>9</xdr:col>
      <xdr:colOff>114300</xdr:colOff>
      <xdr:row>1175</xdr:row>
      <xdr:rowOff>95250</xdr:rowOff>
    </xdr:to>
    <xdr:sp macro="" textlink="">
      <xdr:nvSpPr>
        <xdr:cNvPr id="1059" name="TextBox 1058"/>
        <xdr:cNvSpPr txBox="1"/>
      </xdr:nvSpPr>
      <xdr:spPr>
        <a:xfrm>
          <a:off x="457200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1170</xdr:row>
      <xdr:rowOff>0</xdr:rowOff>
    </xdr:from>
    <xdr:to>
      <xdr:col>5</xdr:col>
      <xdr:colOff>304800</xdr:colOff>
      <xdr:row>1176</xdr:row>
      <xdr:rowOff>95250</xdr:rowOff>
    </xdr:to>
    <xdr:sp macro="" textlink="">
      <xdr:nvSpPr>
        <xdr:cNvPr id="1060" name="TextBox 1059"/>
        <xdr:cNvSpPr txBox="1"/>
      </xdr:nvSpPr>
      <xdr:spPr>
        <a:xfrm>
          <a:off x="2133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1170</xdr:row>
      <xdr:rowOff>0</xdr:rowOff>
    </xdr:from>
    <xdr:to>
      <xdr:col>12</xdr:col>
      <xdr:colOff>304800</xdr:colOff>
      <xdr:row>1176</xdr:row>
      <xdr:rowOff>95250</xdr:rowOff>
    </xdr:to>
    <xdr:sp macro="" textlink="">
      <xdr:nvSpPr>
        <xdr:cNvPr id="1061" name="TextBox 1060"/>
        <xdr:cNvSpPr txBox="1"/>
      </xdr:nvSpPr>
      <xdr:spPr>
        <a:xfrm>
          <a:off x="6705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1200</xdr:row>
      <xdr:rowOff>0</xdr:rowOff>
    </xdr:from>
    <xdr:to>
      <xdr:col>2</xdr:col>
      <xdr:colOff>114300</xdr:colOff>
      <xdr:row>1205</xdr:row>
      <xdr:rowOff>95250</xdr:rowOff>
    </xdr:to>
    <xdr:sp macro="" textlink="">
      <xdr:nvSpPr>
        <xdr:cNvPr id="1062" name="TextBox 1061"/>
        <xdr:cNvSpPr txBox="1"/>
      </xdr:nvSpPr>
      <xdr:spPr>
        <a:xfrm>
          <a:off x="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1200</xdr:row>
      <xdr:rowOff>0</xdr:rowOff>
    </xdr:from>
    <xdr:to>
      <xdr:col>9</xdr:col>
      <xdr:colOff>114300</xdr:colOff>
      <xdr:row>1205</xdr:row>
      <xdr:rowOff>95250</xdr:rowOff>
    </xdr:to>
    <xdr:sp macro="" textlink="">
      <xdr:nvSpPr>
        <xdr:cNvPr id="1063" name="TextBox 1062"/>
        <xdr:cNvSpPr txBox="1"/>
      </xdr:nvSpPr>
      <xdr:spPr>
        <a:xfrm>
          <a:off x="457200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1200</xdr:row>
      <xdr:rowOff>0</xdr:rowOff>
    </xdr:from>
    <xdr:to>
      <xdr:col>5</xdr:col>
      <xdr:colOff>304800</xdr:colOff>
      <xdr:row>1206</xdr:row>
      <xdr:rowOff>95250</xdr:rowOff>
    </xdr:to>
    <xdr:sp macro="" textlink="">
      <xdr:nvSpPr>
        <xdr:cNvPr id="1064" name="TextBox 1063"/>
        <xdr:cNvSpPr txBox="1"/>
      </xdr:nvSpPr>
      <xdr:spPr>
        <a:xfrm>
          <a:off x="2133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1200</xdr:row>
      <xdr:rowOff>0</xdr:rowOff>
    </xdr:from>
    <xdr:to>
      <xdr:col>12</xdr:col>
      <xdr:colOff>304800</xdr:colOff>
      <xdr:row>1206</xdr:row>
      <xdr:rowOff>95250</xdr:rowOff>
    </xdr:to>
    <xdr:sp macro="" textlink="">
      <xdr:nvSpPr>
        <xdr:cNvPr id="1065" name="TextBox 1064"/>
        <xdr:cNvSpPr txBox="1"/>
      </xdr:nvSpPr>
      <xdr:spPr>
        <a:xfrm>
          <a:off x="6705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1230</xdr:row>
      <xdr:rowOff>0</xdr:rowOff>
    </xdr:from>
    <xdr:to>
      <xdr:col>2</xdr:col>
      <xdr:colOff>114300</xdr:colOff>
      <xdr:row>1235</xdr:row>
      <xdr:rowOff>95250</xdr:rowOff>
    </xdr:to>
    <xdr:sp macro="" textlink="">
      <xdr:nvSpPr>
        <xdr:cNvPr id="1066" name="TextBox 1065"/>
        <xdr:cNvSpPr txBox="1"/>
      </xdr:nvSpPr>
      <xdr:spPr>
        <a:xfrm>
          <a:off x="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1230</xdr:row>
      <xdr:rowOff>0</xdr:rowOff>
    </xdr:from>
    <xdr:to>
      <xdr:col>9</xdr:col>
      <xdr:colOff>114300</xdr:colOff>
      <xdr:row>1235</xdr:row>
      <xdr:rowOff>95250</xdr:rowOff>
    </xdr:to>
    <xdr:sp macro="" textlink="">
      <xdr:nvSpPr>
        <xdr:cNvPr id="1067" name="TextBox 1066"/>
        <xdr:cNvSpPr txBox="1"/>
      </xdr:nvSpPr>
      <xdr:spPr>
        <a:xfrm>
          <a:off x="457200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1230</xdr:row>
      <xdr:rowOff>0</xdr:rowOff>
    </xdr:from>
    <xdr:to>
      <xdr:col>5</xdr:col>
      <xdr:colOff>304800</xdr:colOff>
      <xdr:row>1236</xdr:row>
      <xdr:rowOff>95250</xdr:rowOff>
    </xdr:to>
    <xdr:sp macro="" textlink="">
      <xdr:nvSpPr>
        <xdr:cNvPr id="1068" name="TextBox 1067"/>
        <xdr:cNvSpPr txBox="1"/>
      </xdr:nvSpPr>
      <xdr:spPr>
        <a:xfrm>
          <a:off x="2133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1230</xdr:row>
      <xdr:rowOff>0</xdr:rowOff>
    </xdr:from>
    <xdr:to>
      <xdr:col>12</xdr:col>
      <xdr:colOff>304800</xdr:colOff>
      <xdr:row>1236</xdr:row>
      <xdr:rowOff>95250</xdr:rowOff>
    </xdr:to>
    <xdr:sp macro="" textlink="">
      <xdr:nvSpPr>
        <xdr:cNvPr id="1069" name="TextBox 1068"/>
        <xdr:cNvSpPr txBox="1"/>
      </xdr:nvSpPr>
      <xdr:spPr>
        <a:xfrm>
          <a:off x="6705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1260</xdr:row>
      <xdr:rowOff>0</xdr:rowOff>
    </xdr:from>
    <xdr:to>
      <xdr:col>2</xdr:col>
      <xdr:colOff>114300</xdr:colOff>
      <xdr:row>1265</xdr:row>
      <xdr:rowOff>95250</xdr:rowOff>
    </xdr:to>
    <xdr:sp macro="" textlink="">
      <xdr:nvSpPr>
        <xdr:cNvPr id="1070" name="TextBox 1069"/>
        <xdr:cNvSpPr txBox="1"/>
      </xdr:nvSpPr>
      <xdr:spPr>
        <a:xfrm>
          <a:off x="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1260</xdr:row>
      <xdr:rowOff>0</xdr:rowOff>
    </xdr:from>
    <xdr:to>
      <xdr:col>9</xdr:col>
      <xdr:colOff>114300</xdr:colOff>
      <xdr:row>1265</xdr:row>
      <xdr:rowOff>95250</xdr:rowOff>
    </xdr:to>
    <xdr:sp macro="" textlink="">
      <xdr:nvSpPr>
        <xdr:cNvPr id="1071" name="TextBox 1070"/>
        <xdr:cNvSpPr txBox="1"/>
      </xdr:nvSpPr>
      <xdr:spPr>
        <a:xfrm>
          <a:off x="457200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1260</xdr:row>
      <xdr:rowOff>0</xdr:rowOff>
    </xdr:from>
    <xdr:to>
      <xdr:col>5</xdr:col>
      <xdr:colOff>304800</xdr:colOff>
      <xdr:row>1266</xdr:row>
      <xdr:rowOff>95250</xdr:rowOff>
    </xdr:to>
    <xdr:sp macro="" textlink="">
      <xdr:nvSpPr>
        <xdr:cNvPr id="1072" name="TextBox 1071"/>
        <xdr:cNvSpPr txBox="1"/>
      </xdr:nvSpPr>
      <xdr:spPr>
        <a:xfrm>
          <a:off x="2133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1260</xdr:row>
      <xdr:rowOff>0</xdr:rowOff>
    </xdr:from>
    <xdr:to>
      <xdr:col>12</xdr:col>
      <xdr:colOff>304800</xdr:colOff>
      <xdr:row>1266</xdr:row>
      <xdr:rowOff>95250</xdr:rowOff>
    </xdr:to>
    <xdr:sp macro="" textlink="">
      <xdr:nvSpPr>
        <xdr:cNvPr id="1073" name="TextBox 1072"/>
        <xdr:cNvSpPr txBox="1"/>
      </xdr:nvSpPr>
      <xdr:spPr>
        <a:xfrm>
          <a:off x="6705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1290</xdr:row>
      <xdr:rowOff>0</xdr:rowOff>
    </xdr:from>
    <xdr:to>
      <xdr:col>2</xdr:col>
      <xdr:colOff>114300</xdr:colOff>
      <xdr:row>1295</xdr:row>
      <xdr:rowOff>95250</xdr:rowOff>
    </xdr:to>
    <xdr:sp macro="" textlink="">
      <xdr:nvSpPr>
        <xdr:cNvPr id="1074" name="TextBox 1073"/>
        <xdr:cNvSpPr txBox="1"/>
      </xdr:nvSpPr>
      <xdr:spPr>
        <a:xfrm>
          <a:off x="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1290</xdr:row>
      <xdr:rowOff>0</xdr:rowOff>
    </xdr:from>
    <xdr:to>
      <xdr:col>9</xdr:col>
      <xdr:colOff>114300</xdr:colOff>
      <xdr:row>1295</xdr:row>
      <xdr:rowOff>95250</xdr:rowOff>
    </xdr:to>
    <xdr:sp macro="" textlink="">
      <xdr:nvSpPr>
        <xdr:cNvPr id="1075" name="TextBox 1074"/>
        <xdr:cNvSpPr txBox="1"/>
      </xdr:nvSpPr>
      <xdr:spPr>
        <a:xfrm>
          <a:off x="457200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1290</xdr:row>
      <xdr:rowOff>0</xdr:rowOff>
    </xdr:from>
    <xdr:to>
      <xdr:col>5</xdr:col>
      <xdr:colOff>304800</xdr:colOff>
      <xdr:row>1296</xdr:row>
      <xdr:rowOff>95250</xdr:rowOff>
    </xdr:to>
    <xdr:sp macro="" textlink="">
      <xdr:nvSpPr>
        <xdr:cNvPr id="1076" name="TextBox 1075"/>
        <xdr:cNvSpPr txBox="1"/>
      </xdr:nvSpPr>
      <xdr:spPr>
        <a:xfrm>
          <a:off x="2133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1290</xdr:row>
      <xdr:rowOff>0</xdr:rowOff>
    </xdr:from>
    <xdr:to>
      <xdr:col>12</xdr:col>
      <xdr:colOff>304800</xdr:colOff>
      <xdr:row>1296</xdr:row>
      <xdr:rowOff>95250</xdr:rowOff>
    </xdr:to>
    <xdr:sp macro="" textlink="">
      <xdr:nvSpPr>
        <xdr:cNvPr id="1077" name="TextBox 1076"/>
        <xdr:cNvSpPr txBox="1"/>
      </xdr:nvSpPr>
      <xdr:spPr>
        <a:xfrm>
          <a:off x="6705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1320</xdr:row>
      <xdr:rowOff>0</xdr:rowOff>
    </xdr:from>
    <xdr:to>
      <xdr:col>2</xdr:col>
      <xdr:colOff>114300</xdr:colOff>
      <xdr:row>1325</xdr:row>
      <xdr:rowOff>95250</xdr:rowOff>
    </xdr:to>
    <xdr:sp macro="" textlink="">
      <xdr:nvSpPr>
        <xdr:cNvPr id="1078" name="TextBox 1077"/>
        <xdr:cNvSpPr txBox="1"/>
      </xdr:nvSpPr>
      <xdr:spPr>
        <a:xfrm>
          <a:off x="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1320</xdr:row>
      <xdr:rowOff>0</xdr:rowOff>
    </xdr:from>
    <xdr:to>
      <xdr:col>9</xdr:col>
      <xdr:colOff>114300</xdr:colOff>
      <xdr:row>1325</xdr:row>
      <xdr:rowOff>95250</xdr:rowOff>
    </xdr:to>
    <xdr:sp macro="" textlink="">
      <xdr:nvSpPr>
        <xdr:cNvPr id="1079" name="TextBox 1078"/>
        <xdr:cNvSpPr txBox="1"/>
      </xdr:nvSpPr>
      <xdr:spPr>
        <a:xfrm>
          <a:off x="457200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1320</xdr:row>
      <xdr:rowOff>0</xdr:rowOff>
    </xdr:from>
    <xdr:to>
      <xdr:col>5</xdr:col>
      <xdr:colOff>304800</xdr:colOff>
      <xdr:row>1326</xdr:row>
      <xdr:rowOff>95250</xdr:rowOff>
    </xdr:to>
    <xdr:sp macro="" textlink="">
      <xdr:nvSpPr>
        <xdr:cNvPr id="1080" name="TextBox 1079"/>
        <xdr:cNvSpPr txBox="1"/>
      </xdr:nvSpPr>
      <xdr:spPr>
        <a:xfrm>
          <a:off x="2133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1320</xdr:row>
      <xdr:rowOff>0</xdr:rowOff>
    </xdr:from>
    <xdr:to>
      <xdr:col>12</xdr:col>
      <xdr:colOff>304800</xdr:colOff>
      <xdr:row>1326</xdr:row>
      <xdr:rowOff>95250</xdr:rowOff>
    </xdr:to>
    <xdr:sp macro="" textlink="">
      <xdr:nvSpPr>
        <xdr:cNvPr id="1081" name="TextBox 1080"/>
        <xdr:cNvSpPr txBox="1"/>
      </xdr:nvSpPr>
      <xdr:spPr>
        <a:xfrm>
          <a:off x="6705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1350</xdr:row>
      <xdr:rowOff>0</xdr:rowOff>
    </xdr:from>
    <xdr:to>
      <xdr:col>2</xdr:col>
      <xdr:colOff>114300</xdr:colOff>
      <xdr:row>1355</xdr:row>
      <xdr:rowOff>95250</xdr:rowOff>
    </xdr:to>
    <xdr:sp macro="" textlink="">
      <xdr:nvSpPr>
        <xdr:cNvPr id="1082" name="TextBox 1081"/>
        <xdr:cNvSpPr txBox="1"/>
      </xdr:nvSpPr>
      <xdr:spPr>
        <a:xfrm>
          <a:off x="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1350</xdr:row>
      <xdr:rowOff>0</xdr:rowOff>
    </xdr:from>
    <xdr:to>
      <xdr:col>9</xdr:col>
      <xdr:colOff>114300</xdr:colOff>
      <xdr:row>1355</xdr:row>
      <xdr:rowOff>95250</xdr:rowOff>
    </xdr:to>
    <xdr:sp macro="" textlink="">
      <xdr:nvSpPr>
        <xdr:cNvPr id="1083" name="TextBox 1082"/>
        <xdr:cNvSpPr txBox="1"/>
      </xdr:nvSpPr>
      <xdr:spPr>
        <a:xfrm>
          <a:off x="457200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1350</xdr:row>
      <xdr:rowOff>0</xdr:rowOff>
    </xdr:from>
    <xdr:to>
      <xdr:col>5</xdr:col>
      <xdr:colOff>304800</xdr:colOff>
      <xdr:row>1356</xdr:row>
      <xdr:rowOff>95250</xdr:rowOff>
    </xdr:to>
    <xdr:sp macro="" textlink="">
      <xdr:nvSpPr>
        <xdr:cNvPr id="1084" name="TextBox 1083"/>
        <xdr:cNvSpPr txBox="1"/>
      </xdr:nvSpPr>
      <xdr:spPr>
        <a:xfrm>
          <a:off x="2133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1350</xdr:row>
      <xdr:rowOff>0</xdr:rowOff>
    </xdr:from>
    <xdr:to>
      <xdr:col>12</xdr:col>
      <xdr:colOff>304800</xdr:colOff>
      <xdr:row>1356</xdr:row>
      <xdr:rowOff>95250</xdr:rowOff>
    </xdr:to>
    <xdr:sp macro="" textlink="">
      <xdr:nvSpPr>
        <xdr:cNvPr id="1085" name="TextBox 1084"/>
        <xdr:cNvSpPr txBox="1"/>
      </xdr:nvSpPr>
      <xdr:spPr>
        <a:xfrm>
          <a:off x="6705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1380</xdr:row>
      <xdr:rowOff>0</xdr:rowOff>
    </xdr:from>
    <xdr:to>
      <xdr:col>2</xdr:col>
      <xdr:colOff>114300</xdr:colOff>
      <xdr:row>1385</xdr:row>
      <xdr:rowOff>95250</xdr:rowOff>
    </xdr:to>
    <xdr:sp macro="" textlink="">
      <xdr:nvSpPr>
        <xdr:cNvPr id="1086" name="TextBox 1085"/>
        <xdr:cNvSpPr txBox="1"/>
      </xdr:nvSpPr>
      <xdr:spPr>
        <a:xfrm>
          <a:off x="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1380</xdr:row>
      <xdr:rowOff>0</xdr:rowOff>
    </xdr:from>
    <xdr:to>
      <xdr:col>9</xdr:col>
      <xdr:colOff>114300</xdr:colOff>
      <xdr:row>1385</xdr:row>
      <xdr:rowOff>95250</xdr:rowOff>
    </xdr:to>
    <xdr:sp macro="" textlink="">
      <xdr:nvSpPr>
        <xdr:cNvPr id="1087" name="TextBox 1086"/>
        <xdr:cNvSpPr txBox="1"/>
      </xdr:nvSpPr>
      <xdr:spPr>
        <a:xfrm>
          <a:off x="457200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1380</xdr:row>
      <xdr:rowOff>0</xdr:rowOff>
    </xdr:from>
    <xdr:to>
      <xdr:col>5</xdr:col>
      <xdr:colOff>304800</xdr:colOff>
      <xdr:row>1386</xdr:row>
      <xdr:rowOff>95250</xdr:rowOff>
    </xdr:to>
    <xdr:sp macro="" textlink="">
      <xdr:nvSpPr>
        <xdr:cNvPr id="1088" name="TextBox 1087"/>
        <xdr:cNvSpPr txBox="1"/>
      </xdr:nvSpPr>
      <xdr:spPr>
        <a:xfrm>
          <a:off x="2133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1380</xdr:row>
      <xdr:rowOff>0</xdr:rowOff>
    </xdr:from>
    <xdr:to>
      <xdr:col>12</xdr:col>
      <xdr:colOff>304800</xdr:colOff>
      <xdr:row>1386</xdr:row>
      <xdr:rowOff>95250</xdr:rowOff>
    </xdr:to>
    <xdr:sp macro="" textlink="">
      <xdr:nvSpPr>
        <xdr:cNvPr id="1089" name="TextBox 1088"/>
        <xdr:cNvSpPr txBox="1"/>
      </xdr:nvSpPr>
      <xdr:spPr>
        <a:xfrm>
          <a:off x="6705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1410</xdr:row>
      <xdr:rowOff>0</xdr:rowOff>
    </xdr:from>
    <xdr:to>
      <xdr:col>2</xdr:col>
      <xdr:colOff>114300</xdr:colOff>
      <xdr:row>1415</xdr:row>
      <xdr:rowOff>95250</xdr:rowOff>
    </xdr:to>
    <xdr:sp macro="" textlink="">
      <xdr:nvSpPr>
        <xdr:cNvPr id="1090" name="TextBox 1089"/>
        <xdr:cNvSpPr txBox="1"/>
      </xdr:nvSpPr>
      <xdr:spPr>
        <a:xfrm>
          <a:off x="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1410</xdr:row>
      <xdr:rowOff>0</xdr:rowOff>
    </xdr:from>
    <xdr:to>
      <xdr:col>9</xdr:col>
      <xdr:colOff>114300</xdr:colOff>
      <xdr:row>1415</xdr:row>
      <xdr:rowOff>95250</xdr:rowOff>
    </xdr:to>
    <xdr:sp macro="" textlink="">
      <xdr:nvSpPr>
        <xdr:cNvPr id="1091" name="TextBox 1090"/>
        <xdr:cNvSpPr txBox="1"/>
      </xdr:nvSpPr>
      <xdr:spPr>
        <a:xfrm>
          <a:off x="457200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1410</xdr:row>
      <xdr:rowOff>0</xdr:rowOff>
    </xdr:from>
    <xdr:to>
      <xdr:col>5</xdr:col>
      <xdr:colOff>304800</xdr:colOff>
      <xdr:row>1416</xdr:row>
      <xdr:rowOff>95250</xdr:rowOff>
    </xdr:to>
    <xdr:sp macro="" textlink="">
      <xdr:nvSpPr>
        <xdr:cNvPr id="1092" name="TextBox 1091"/>
        <xdr:cNvSpPr txBox="1"/>
      </xdr:nvSpPr>
      <xdr:spPr>
        <a:xfrm>
          <a:off x="2133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1410</xdr:row>
      <xdr:rowOff>0</xdr:rowOff>
    </xdr:from>
    <xdr:to>
      <xdr:col>12</xdr:col>
      <xdr:colOff>304800</xdr:colOff>
      <xdr:row>1416</xdr:row>
      <xdr:rowOff>95250</xdr:rowOff>
    </xdr:to>
    <xdr:sp macro="" textlink="">
      <xdr:nvSpPr>
        <xdr:cNvPr id="1093" name="TextBox 1092"/>
        <xdr:cNvSpPr txBox="1"/>
      </xdr:nvSpPr>
      <xdr:spPr>
        <a:xfrm>
          <a:off x="6705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1440</xdr:row>
      <xdr:rowOff>0</xdr:rowOff>
    </xdr:from>
    <xdr:to>
      <xdr:col>2</xdr:col>
      <xdr:colOff>114300</xdr:colOff>
      <xdr:row>1445</xdr:row>
      <xdr:rowOff>95250</xdr:rowOff>
    </xdr:to>
    <xdr:sp macro="" textlink="">
      <xdr:nvSpPr>
        <xdr:cNvPr id="1094" name="TextBox 1093"/>
        <xdr:cNvSpPr txBox="1"/>
      </xdr:nvSpPr>
      <xdr:spPr>
        <a:xfrm>
          <a:off x="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1440</xdr:row>
      <xdr:rowOff>0</xdr:rowOff>
    </xdr:from>
    <xdr:to>
      <xdr:col>9</xdr:col>
      <xdr:colOff>114300</xdr:colOff>
      <xdr:row>1445</xdr:row>
      <xdr:rowOff>95250</xdr:rowOff>
    </xdr:to>
    <xdr:sp macro="" textlink="">
      <xdr:nvSpPr>
        <xdr:cNvPr id="1095" name="TextBox 1094"/>
        <xdr:cNvSpPr txBox="1"/>
      </xdr:nvSpPr>
      <xdr:spPr>
        <a:xfrm>
          <a:off x="457200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1440</xdr:row>
      <xdr:rowOff>0</xdr:rowOff>
    </xdr:from>
    <xdr:to>
      <xdr:col>5</xdr:col>
      <xdr:colOff>304800</xdr:colOff>
      <xdr:row>1446</xdr:row>
      <xdr:rowOff>95250</xdr:rowOff>
    </xdr:to>
    <xdr:sp macro="" textlink="">
      <xdr:nvSpPr>
        <xdr:cNvPr id="1096" name="TextBox 1095"/>
        <xdr:cNvSpPr txBox="1"/>
      </xdr:nvSpPr>
      <xdr:spPr>
        <a:xfrm>
          <a:off x="2133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1440</xdr:row>
      <xdr:rowOff>0</xdr:rowOff>
    </xdr:from>
    <xdr:to>
      <xdr:col>12</xdr:col>
      <xdr:colOff>304800</xdr:colOff>
      <xdr:row>1446</xdr:row>
      <xdr:rowOff>95250</xdr:rowOff>
    </xdr:to>
    <xdr:sp macro="" textlink="">
      <xdr:nvSpPr>
        <xdr:cNvPr id="1097" name="TextBox 1096"/>
        <xdr:cNvSpPr txBox="1"/>
      </xdr:nvSpPr>
      <xdr:spPr>
        <a:xfrm>
          <a:off x="6705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1470</xdr:row>
      <xdr:rowOff>0</xdr:rowOff>
    </xdr:from>
    <xdr:to>
      <xdr:col>2</xdr:col>
      <xdr:colOff>114300</xdr:colOff>
      <xdr:row>1475</xdr:row>
      <xdr:rowOff>95250</xdr:rowOff>
    </xdr:to>
    <xdr:sp macro="" textlink="">
      <xdr:nvSpPr>
        <xdr:cNvPr id="1098" name="TextBox 1097"/>
        <xdr:cNvSpPr txBox="1"/>
      </xdr:nvSpPr>
      <xdr:spPr>
        <a:xfrm>
          <a:off x="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1470</xdr:row>
      <xdr:rowOff>0</xdr:rowOff>
    </xdr:from>
    <xdr:to>
      <xdr:col>9</xdr:col>
      <xdr:colOff>114300</xdr:colOff>
      <xdr:row>1475</xdr:row>
      <xdr:rowOff>95250</xdr:rowOff>
    </xdr:to>
    <xdr:sp macro="" textlink="">
      <xdr:nvSpPr>
        <xdr:cNvPr id="1099" name="TextBox 1098"/>
        <xdr:cNvSpPr txBox="1"/>
      </xdr:nvSpPr>
      <xdr:spPr>
        <a:xfrm>
          <a:off x="457200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1470</xdr:row>
      <xdr:rowOff>0</xdr:rowOff>
    </xdr:from>
    <xdr:to>
      <xdr:col>5</xdr:col>
      <xdr:colOff>304800</xdr:colOff>
      <xdr:row>1476</xdr:row>
      <xdr:rowOff>95250</xdr:rowOff>
    </xdr:to>
    <xdr:sp macro="" textlink="">
      <xdr:nvSpPr>
        <xdr:cNvPr id="1100" name="TextBox 1099"/>
        <xdr:cNvSpPr txBox="1"/>
      </xdr:nvSpPr>
      <xdr:spPr>
        <a:xfrm>
          <a:off x="2133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1470</xdr:row>
      <xdr:rowOff>0</xdr:rowOff>
    </xdr:from>
    <xdr:to>
      <xdr:col>12</xdr:col>
      <xdr:colOff>304800</xdr:colOff>
      <xdr:row>1476</xdr:row>
      <xdr:rowOff>95250</xdr:rowOff>
    </xdr:to>
    <xdr:sp macro="" textlink="">
      <xdr:nvSpPr>
        <xdr:cNvPr id="1101" name="TextBox 1100"/>
        <xdr:cNvSpPr txBox="1"/>
      </xdr:nvSpPr>
      <xdr:spPr>
        <a:xfrm>
          <a:off x="6705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114300</xdr:colOff>
      <xdr:row>5</xdr:row>
      <xdr:rowOff>95250</xdr:rowOff>
    </xdr:to>
    <xdr:sp macro="" textlink="">
      <xdr:nvSpPr>
        <xdr:cNvPr id="1102" name="TextBox 1101"/>
        <xdr:cNvSpPr txBox="1"/>
      </xdr:nvSpPr>
      <xdr:spPr>
        <a:xfrm>
          <a:off x="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9</xdr:col>
      <xdr:colOff>114300</xdr:colOff>
      <xdr:row>5</xdr:row>
      <xdr:rowOff>95250</xdr:rowOff>
    </xdr:to>
    <xdr:sp macro="" textlink="">
      <xdr:nvSpPr>
        <xdr:cNvPr id="1103" name="TextBox 1102"/>
        <xdr:cNvSpPr txBox="1"/>
      </xdr:nvSpPr>
      <xdr:spPr>
        <a:xfrm>
          <a:off x="457200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5</xdr:col>
      <xdr:colOff>304800</xdr:colOff>
      <xdr:row>6</xdr:row>
      <xdr:rowOff>95250</xdr:rowOff>
    </xdr:to>
    <xdr:sp macro="" textlink="">
      <xdr:nvSpPr>
        <xdr:cNvPr id="1104" name="TextBox 1103"/>
        <xdr:cNvSpPr txBox="1"/>
      </xdr:nvSpPr>
      <xdr:spPr>
        <a:xfrm>
          <a:off x="2133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1105" name="TextBox 1104"/>
        <xdr:cNvSpPr txBox="1"/>
      </xdr:nvSpPr>
      <xdr:spPr>
        <a:xfrm>
          <a:off x="6705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114300</xdr:colOff>
      <xdr:row>35</xdr:row>
      <xdr:rowOff>95250</xdr:rowOff>
    </xdr:to>
    <xdr:sp macro="" textlink="">
      <xdr:nvSpPr>
        <xdr:cNvPr id="1106" name="TextBox 1105"/>
        <xdr:cNvSpPr txBox="1"/>
      </xdr:nvSpPr>
      <xdr:spPr>
        <a:xfrm>
          <a:off x="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114300</xdr:colOff>
      <xdr:row>35</xdr:row>
      <xdr:rowOff>95250</xdr:rowOff>
    </xdr:to>
    <xdr:sp macro="" textlink="">
      <xdr:nvSpPr>
        <xdr:cNvPr id="1107" name="TextBox 1106"/>
        <xdr:cNvSpPr txBox="1"/>
      </xdr:nvSpPr>
      <xdr:spPr>
        <a:xfrm>
          <a:off x="457200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5</xdr:col>
      <xdr:colOff>304800</xdr:colOff>
      <xdr:row>36</xdr:row>
      <xdr:rowOff>95250</xdr:rowOff>
    </xdr:to>
    <xdr:sp macro="" textlink="">
      <xdr:nvSpPr>
        <xdr:cNvPr id="1108" name="TextBox 1107"/>
        <xdr:cNvSpPr txBox="1"/>
      </xdr:nvSpPr>
      <xdr:spPr>
        <a:xfrm>
          <a:off x="2133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304800</xdr:colOff>
      <xdr:row>36</xdr:row>
      <xdr:rowOff>95250</xdr:rowOff>
    </xdr:to>
    <xdr:sp macro="" textlink="">
      <xdr:nvSpPr>
        <xdr:cNvPr id="1109" name="TextBox 1108"/>
        <xdr:cNvSpPr txBox="1"/>
      </xdr:nvSpPr>
      <xdr:spPr>
        <a:xfrm>
          <a:off x="6705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114300</xdr:colOff>
      <xdr:row>65</xdr:row>
      <xdr:rowOff>95250</xdr:rowOff>
    </xdr:to>
    <xdr:sp macro="" textlink="">
      <xdr:nvSpPr>
        <xdr:cNvPr id="1110" name="TextBox 1109"/>
        <xdr:cNvSpPr txBox="1"/>
      </xdr:nvSpPr>
      <xdr:spPr>
        <a:xfrm>
          <a:off x="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9</xdr:col>
      <xdr:colOff>114300</xdr:colOff>
      <xdr:row>65</xdr:row>
      <xdr:rowOff>95250</xdr:rowOff>
    </xdr:to>
    <xdr:sp macro="" textlink="">
      <xdr:nvSpPr>
        <xdr:cNvPr id="1111" name="TextBox 1110"/>
        <xdr:cNvSpPr txBox="1"/>
      </xdr:nvSpPr>
      <xdr:spPr>
        <a:xfrm>
          <a:off x="457200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5</xdr:col>
      <xdr:colOff>304800</xdr:colOff>
      <xdr:row>66</xdr:row>
      <xdr:rowOff>95250</xdr:rowOff>
    </xdr:to>
    <xdr:sp macro="" textlink="">
      <xdr:nvSpPr>
        <xdr:cNvPr id="1112" name="TextBox 1111"/>
        <xdr:cNvSpPr txBox="1"/>
      </xdr:nvSpPr>
      <xdr:spPr>
        <a:xfrm>
          <a:off x="2133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12</xdr:col>
      <xdr:colOff>304800</xdr:colOff>
      <xdr:row>66</xdr:row>
      <xdr:rowOff>95250</xdr:rowOff>
    </xdr:to>
    <xdr:sp macro="" textlink="">
      <xdr:nvSpPr>
        <xdr:cNvPr id="1113" name="TextBox 1112"/>
        <xdr:cNvSpPr txBox="1"/>
      </xdr:nvSpPr>
      <xdr:spPr>
        <a:xfrm>
          <a:off x="6705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2</xdr:col>
      <xdr:colOff>114300</xdr:colOff>
      <xdr:row>95</xdr:row>
      <xdr:rowOff>95250</xdr:rowOff>
    </xdr:to>
    <xdr:sp macro="" textlink="">
      <xdr:nvSpPr>
        <xdr:cNvPr id="1114" name="TextBox 1113"/>
        <xdr:cNvSpPr txBox="1"/>
      </xdr:nvSpPr>
      <xdr:spPr>
        <a:xfrm>
          <a:off x="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9</xdr:col>
      <xdr:colOff>114300</xdr:colOff>
      <xdr:row>95</xdr:row>
      <xdr:rowOff>95250</xdr:rowOff>
    </xdr:to>
    <xdr:sp macro="" textlink="">
      <xdr:nvSpPr>
        <xdr:cNvPr id="1115" name="TextBox 1114"/>
        <xdr:cNvSpPr txBox="1"/>
      </xdr:nvSpPr>
      <xdr:spPr>
        <a:xfrm>
          <a:off x="457200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5</xdr:col>
      <xdr:colOff>304800</xdr:colOff>
      <xdr:row>96</xdr:row>
      <xdr:rowOff>95250</xdr:rowOff>
    </xdr:to>
    <xdr:sp macro="" textlink="">
      <xdr:nvSpPr>
        <xdr:cNvPr id="1116" name="TextBox 1115"/>
        <xdr:cNvSpPr txBox="1"/>
      </xdr:nvSpPr>
      <xdr:spPr>
        <a:xfrm>
          <a:off x="2133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12</xdr:col>
      <xdr:colOff>304800</xdr:colOff>
      <xdr:row>96</xdr:row>
      <xdr:rowOff>95250</xdr:rowOff>
    </xdr:to>
    <xdr:sp macro="" textlink="">
      <xdr:nvSpPr>
        <xdr:cNvPr id="1117" name="TextBox 1116"/>
        <xdr:cNvSpPr txBox="1"/>
      </xdr:nvSpPr>
      <xdr:spPr>
        <a:xfrm>
          <a:off x="6705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114300</xdr:colOff>
      <xdr:row>125</xdr:row>
      <xdr:rowOff>95250</xdr:rowOff>
    </xdr:to>
    <xdr:sp macro="" textlink="">
      <xdr:nvSpPr>
        <xdr:cNvPr id="1118" name="TextBox 1117"/>
        <xdr:cNvSpPr txBox="1"/>
      </xdr:nvSpPr>
      <xdr:spPr>
        <a:xfrm>
          <a:off x="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9</xdr:col>
      <xdr:colOff>114300</xdr:colOff>
      <xdr:row>125</xdr:row>
      <xdr:rowOff>95250</xdr:rowOff>
    </xdr:to>
    <xdr:sp macro="" textlink="">
      <xdr:nvSpPr>
        <xdr:cNvPr id="1119" name="TextBox 1118"/>
        <xdr:cNvSpPr txBox="1"/>
      </xdr:nvSpPr>
      <xdr:spPr>
        <a:xfrm>
          <a:off x="457200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304800</xdr:colOff>
      <xdr:row>126</xdr:row>
      <xdr:rowOff>95250</xdr:rowOff>
    </xdr:to>
    <xdr:sp macro="" textlink="">
      <xdr:nvSpPr>
        <xdr:cNvPr id="1120" name="TextBox 1119"/>
        <xdr:cNvSpPr txBox="1"/>
      </xdr:nvSpPr>
      <xdr:spPr>
        <a:xfrm>
          <a:off x="2133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</xdr:row>
      <xdr:rowOff>0</xdr:rowOff>
    </xdr:from>
    <xdr:to>
      <xdr:col>12</xdr:col>
      <xdr:colOff>304800</xdr:colOff>
      <xdr:row>126</xdr:row>
      <xdr:rowOff>95250</xdr:rowOff>
    </xdr:to>
    <xdr:sp macro="" textlink="">
      <xdr:nvSpPr>
        <xdr:cNvPr id="1121" name="TextBox 1120"/>
        <xdr:cNvSpPr txBox="1"/>
      </xdr:nvSpPr>
      <xdr:spPr>
        <a:xfrm>
          <a:off x="6705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150</xdr:row>
      <xdr:rowOff>0</xdr:rowOff>
    </xdr:from>
    <xdr:to>
      <xdr:col>2</xdr:col>
      <xdr:colOff>114300</xdr:colOff>
      <xdr:row>155</xdr:row>
      <xdr:rowOff>95250</xdr:rowOff>
    </xdr:to>
    <xdr:sp macro="" textlink="">
      <xdr:nvSpPr>
        <xdr:cNvPr id="1122" name="TextBox 1121"/>
        <xdr:cNvSpPr txBox="1"/>
      </xdr:nvSpPr>
      <xdr:spPr>
        <a:xfrm>
          <a:off x="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150</xdr:row>
      <xdr:rowOff>0</xdr:rowOff>
    </xdr:from>
    <xdr:to>
      <xdr:col>9</xdr:col>
      <xdr:colOff>114300</xdr:colOff>
      <xdr:row>155</xdr:row>
      <xdr:rowOff>95250</xdr:rowOff>
    </xdr:to>
    <xdr:sp macro="" textlink="">
      <xdr:nvSpPr>
        <xdr:cNvPr id="1123" name="TextBox 1122"/>
        <xdr:cNvSpPr txBox="1"/>
      </xdr:nvSpPr>
      <xdr:spPr>
        <a:xfrm>
          <a:off x="457200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5</xdr:col>
      <xdr:colOff>304800</xdr:colOff>
      <xdr:row>156</xdr:row>
      <xdr:rowOff>95250</xdr:rowOff>
    </xdr:to>
    <xdr:sp macro="" textlink="">
      <xdr:nvSpPr>
        <xdr:cNvPr id="1124" name="TextBox 1123"/>
        <xdr:cNvSpPr txBox="1"/>
      </xdr:nvSpPr>
      <xdr:spPr>
        <a:xfrm>
          <a:off x="2133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12</xdr:col>
      <xdr:colOff>304800</xdr:colOff>
      <xdr:row>156</xdr:row>
      <xdr:rowOff>95250</xdr:rowOff>
    </xdr:to>
    <xdr:sp macro="" textlink="">
      <xdr:nvSpPr>
        <xdr:cNvPr id="1125" name="TextBox 1124"/>
        <xdr:cNvSpPr txBox="1"/>
      </xdr:nvSpPr>
      <xdr:spPr>
        <a:xfrm>
          <a:off x="6705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180</xdr:row>
      <xdr:rowOff>0</xdr:rowOff>
    </xdr:from>
    <xdr:to>
      <xdr:col>2</xdr:col>
      <xdr:colOff>114300</xdr:colOff>
      <xdr:row>185</xdr:row>
      <xdr:rowOff>95250</xdr:rowOff>
    </xdr:to>
    <xdr:sp macro="" textlink="">
      <xdr:nvSpPr>
        <xdr:cNvPr id="1126" name="TextBox 1125"/>
        <xdr:cNvSpPr txBox="1"/>
      </xdr:nvSpPr>
      <xdr:spPr>
        <a:xfrm>
          <a:off x="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9</xdr:col>
      <xdr:colOff>114300</xdr:colOff>
      <xdr:row>185</xdr:row>
      <xdr:rowOff>95250</xdr:rowOff>
    </xdr:to>
    <xdr:sp macro="" textlink="">
      <xdr:nvSpPr>
        <xdr:cNvPr id="1127" name="TextBox 1126"/>
        <xdr:cNvSpPr txBox="1"/>
      </xdr:nvSpPr>
      <xdr:spPr>
        <a:xfrm>
          <a:off x="457200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5</xdr:col>
      <xdr:colOff>304800</xdr:colOff>
      <xdr:row>186</xdr:row>
      <xdr:rowOff>95250</xdr:rowOff>
    </xdr:to>
    <xdr:sp macro="" textlink="">
      <xdr:nvSpPr>
        <xdr:cNvPr id="1128" name="TextBox 1127"/>
        <xdr:cNvSpPr txBox="1"/>
      </xdr:nvSpPr>
      <xdr:spPr>
        <a:xfrm>
          <a:off x="2133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180</xdr:row>
      <xdr:rowOff>0</xdr:rowOff>
    </xdr:from>
    <xdr:to>
      <xdr:col>12</xdr:col>
      <xdr:colOff>304800</xdr:colOff>
      <xdr:row>186</xdr:row>
      <xdr:rowOff>95250</xdr:rowOff>
    </xdr:to>
    <xdr:sp macro="" textlink="">
      <xdr:nvSpPr>
        <xdr:cNvPr id="1129" name="TextBox 1128"/>
        <xdr:cNvSpPr txBox="1"/>
      </xdr:nvSpPr>
      <xdr:spPr>
        <a:xfrm>
          <a:off x="6705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210</xdr:row>
      <xdr:rowOff>0</xdr:rowOff>
    </xdr:from>
    <xdr:to>
      <xdr:col>2</xdr:col>
      <xdr:colOff>114300</xdr:colOff>
      <xdr:row>215</xdr:row>
      <xdr:rowOff>95250</xdr:rowOff>
    </xdr:to>
    <xdr:sp macro="" textlink="">
      <xdr:nvSpPr>
        <xdr:cNvPr id="1130" name="TextBox 1129"/>
        <xdr:cNvSpPr txBox="1"/>
      </xdr:nvSpPr>
      <xdr:spPr>
        <a:xfrm>
          <a:off x="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9</xdr:col>
      <xdr:colOff>114300</xdr:colOff>
      <xdr:row>215</xdr:row>
      <xdr:rowOff>95250</xdr:rowOff>
    </xdr:to>
    <xdr:sp macro="" textlink="">
      <xdr:nvSpPr>
        <xdr:cNvPr id="1131" name="TextBox 1130"/>
        <xdr:cNvSpPr txBox="1"/>
      </xdr:nvSpPr>
      <xdr:spPr>
        <a:xfrm>
          <a:off x="457200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5</xdr:col>
      <xdr:colOff>304800</xdr:colOff>
      <xdr:row>216</xdr:row>
      <xdr:rowOff>95250</xdr:rowOff>
    </xdr:to>
    <xdr:sp macro="" textlink="">
      <xdr:nvSpPr>
        <xdr:cNvPr id="1132" name="TextBox 1131"/>
        <xdr:cNvSpPr txBox="1"/>
      </xdr:nvSpPr>
      <xdr:spPr>
        <a:xfrm>
          <a:off x="2133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210</xdr:row>
      <xdr:rowOff>0</xdr:rowOff>
    </xdr:from>
    <xdr:to>
      <xdr:col>12</xdr:col>
      <xdr:colOff>304800</xdr:colOff>
      <xdr:row>216</xdr:row>
      <xdr:rowOff>95250</xdr:rowOff>
    </xdr:to>
    <xdr:sp macro="" textlink="">
      <xdr:nvSpPr>
        <xdr:cNvPr id="1133" name="TextBox 1132"/>
        <xdr:cNvSpPr txBox="1"/>
      </xdr:nvSpPr>
      <xdr:spPr>
        <a:xfrm>
          <a:off x="6705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240</xdr:row>
      <xdr:rowOff>0</xdr:rowOff>
    </xdr:from>
    <xdr:to>
      <xdr:col>2</xdr:col>
      <xdr:colOff>114300</xdr:colOff>
      <xdr:row>245</xdr:row>
      <xdr:rowOff>95250</xdr:rowOff>
    </xdr:to>
    <xdr:sp macro="" textlink="">
      <xdr:nvSpPr>
        <xdr:cNvPr id="1134" name="TextBox 1133"/>
        <xdr:cNvSpPr txBox="1"/>
      </xdr:nvSpPr>
      <xdr:spPr>
        <a:xfrm>
          <a:off x="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240</xdr:row>
      <xdr:rowOff>0</xdr:rowOff>
    </xdr:from>
    <xdr:to>
      <xdr:col>9</xdr:col>
      <xdr:colOff>114300</xdr:colOff>
      <xdr:row>245</xdr:row>
      <xdr:rowOff>95250</xdr:rowOff>
    </xdr:to>
    <xdr:sp macro="" textlink="">
      <xdr:nvSpPr>
        <xdr:cNvPr id="1135" name="TextBox 1134"/>
        <xdr:cNvSpPr txBox="1"/>
      </xdr:nvSpPr>
      <xdr:spPr>
        <a:xfrm>
          <a:off x="457200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5</xdr:col>
      <xdr:colOff>304800</xdr:colOff>
      <xdr:row>246</xdr:row>
      <xdr:rowOff>95250</xdr:rowOff>
    </xdr:to>
    <xdr:sp macro="" textlink="">
      <xdr:nvSpPr>
        <xdr:cNvPr id="1136" name="TextBox 1135"/>
        <xdr:cNvSpPr txBox="1"/>
      </xdr:nvSpPr>
      <xdr:spPr>
        <a:xfrm>
          <a:off x="2133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240</xdr:row>
      <xdr:rowOff>0</xdr:rowOff>
    </xdr:from>
    <xdr:to>
      <xdr:col>12</xdr:col>
      <xdr:colOff>304800</xdr:colOff>
      <xdr:row>246</xdr:row>
      <xdr:rowOff>95250</xdr:rowOff>
    </xdr:to>
    <xdr:sp macro="" textlink="">
      <xdr:nvSpPr>
        <xdr:cNvPr id="1137" name="TextBox 1136"/>
        <xdr:cNvSpPr txBox="1"/>
      </xdr:nvSpPr>
      <xdr:spPr>
        <a:xfrm>
          <a:off x="6705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270</xdr:row>
      <xdr:rowOff>0</xdr:rowOff>
    </xdr:from>
    <xdr:to>
      <xdr:col>2</xdr:col>
      <xdr:colOff>114300</xdr:colOff>
      <xdr:row>275</xdr:row>
      <xdr:rowOff>95250</xdr:rowOff>
    </xdr:to>
    <xdr:sp macro="" textlink="">
      <xdr:nvSpPr>
        <xdr:cNvPr id="1138" name="TextBox 1137"/>
        <xdr:cNvSpPr txBox="1"/>
      </xdr:nvSpPr>
      <xdr:spPr>
        <a:xfrm>
          <a:off x="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270</xdr:row>
      <xdr:rowOff>0</xdr:rowOff>
    </xdr:from>
    <xdr:to>
      <xdr:col>9</xdr:col>
      <xdr:colOff>114300</xdr:colOff>
      <xdr:row>275</xdr:row>
      <xdr:rowOff>95250</xdr:rowOff>
    </xdr:to>
    <xdr:sp macro="" textlink="">
      <xdr:nvSpPr>
        <xdr:cNvPr id="1139" name="TextBox 1138"/>
        <xdr:cNvSpPr txBox="1"/>
      </xdr:nvSpPr>
      <xdr:spPr>
        <a:xfrm>
          <a:off x="457200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270</xdr:row>
      <xdr:rowOff>0</xdr:rowOff>
    </xdr:from>
    <xdr:to>
      <xdr:col>5</xdr:col>
      <xdr:colOff>304800</xdr:colOff>
      <xdr:row>276</xdr:row>
      <xdr:rowOff>95250</xdr:rowOff>
    </xdr:to>
    <xdr:sp macro="" textlink="">
      <xdr:nvSpPr>
        <xdr:cNvPr id="1140" name="TextBox 1139"/>
        <xdr:cNvSpPr txBox="1"/>
      </xdr:nvSpPr>
      <xdr:spPr>
        <a:xfrm>
          <a:off x="2133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270</xdr:row>
      <xdr:rowOff>0</xdr:rowOff>
    </xdr:from>
    <xdr:to>
      <xdr:col>12</xdr:col>
      <xdr:colOff>304800</xdr:colOff>
      <xdr:row>276</xdr:row>
      <xdr:rowOff>95250</xdr:rowOff>
    </xdr:to>
    <xdr:sp macro="" textlink="">
      <xdr:nvSpPr>
        <xdr:cNvPr id="1141" name="TextBox 1140"/>
        <xdr:cNvSpPr txBox="1"/>
      </xdr:nvSpPr>
      <xdr:spPr>
        <a:xfrm>
          <a:off x="6705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300</xdr:row>
      <xdr:rowOff>0</xdr:rowOff>
    </xdr:from>
    <xdr:to>
      <xdr:col>2</xdr:col>
      <xdr:colOff>114300</xdr:colOff>
      <xdr:row>305</xdr:row>
      <xdr:rowOff>95250</xdr:rowOff>
    </xdr:to>
    <xdr:sp macro="" textlink="">
      <xdr:nvSpPr>
        <xdr:cNvPr id="1142" name="TextBox 1141"/>
        <xdr:cNvSpPr txBox="1"/>
      </xdr:nvSpPr>
      <xdr:spPr>
        <a:xfrm>
          <a:off x="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300</xdr:row>
      <xdr:rowOff>0</xdr:rowOff>
    </xdr:from>
    <xdr:to>
      <xdr:col>9</xdr:col>
      <xdr:colOff>114300</xdr:colOff>
      <xdr:row>305</xdr:row>
      <xdr:rowOff>95250</xdr:rowOff>
    </xdr:to>
    <xdr:sp macro="" textlink="">
      <xdr:nvSpPr>
        <xdr:cNvPr id="1143" name="TextBox 1142"/>
        <xdr:cNvSpPr txBox="1"/>
      </xdr:nvSpPr>
      <xdr:spPr>
        <a:xfrm>
          <a:off x="457200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5</xdr:col>
      <xdr:colOff>304800</xdr:colOff>
      <xdr:row>306</xdr:row>
      <xdr:rowOff>95250</xdr:rowOff>
    </xdr:to>
    <xdr:sp macro="" textlink="">
      <xdr:nvSpPr>
        <xdr:cNvPr id="1144" name="TextBox 1143"/>
        <xdr:cNvSpPr txBox="1"/>
      </xdr:nvSpPr>
      <xdr:spPr>
        <a:xfrm>
          <a:off x="2133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300</xdr:row>
      <xdr:rowOff>0</xdr:rowOff>
    </xdr:from>
    <xdr:to>
      <xdr:col>12</xdr:col>
      <xdr:colOff>304800</xdr:colOff>
      <xdr:row>306</xdr:row>
      <xdr:rowOff>95250</xdr:rowOff>
    </xdr:to>
    <xdr:sp macro="" textlink="">
      <xdr:nvSpPr>
        <xdr:cNvPr id="1145" name="TextBox 1144"/>
        <xdr:cNvSpPr txBox="1"/>
      </xdr:nvSpPr>
      <xdr:spPr>
        <a:xfrm>
          <a:off x="6705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330</xdr:row>
      <xdr:rowOff>0</xdr:rowOff>
    </xdr:from>
    <xdr:to>
      <xdr:col>2</xdr:col>
      <xdr:colOff>114300</xdr:colOff>
      <xdr:row>335</xdr:row>
      <xdr:rowOff>95250</xdr:rowOff>
    </xdr:to>
    <xdr:sp macro="" textlink="">
      <xdr:nvSpPr>
        <xdr:cNvPr id="1146" name="TextBox 1145"/>
        <xdr:cNvSpPr txBox="1"/>
      </xdr:nvSpPr>
      <xdr:spPr>
        <a:xfrm>
          <a:off x="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330</xdr:row>
      <xdr:rowOff>0</xdr:rowOff>
    </xdr:from>
    <xdr:to>
      <xdr:col>9</xdr:col>
      <xdr:colOff>114300</xdr:colOff>
      <xdr:row>335</xdr:row>
      <xdr:rowOff>95250</xdr:rowOff>
    </xdr:to>
    <xdr:sp macro="" textlink="">
      <xdr:nvSpPr>
        <xdr:cNvPr id="1147" name="TextBox 1146"/>
        <xdr:cNvSpPr txBox="1"/>
      </xdr:nvSpPr>
      <xdr:spPr>
        <a:xfrm>
          <a:off x="457200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330</xdr:row>
      <xdr:rowOff>0</xdr:rowOff>
    </xdr:from>
    <xdr:to>
      <xdr:col>5</xdr:col>
      <xdr:colOff>304800</xdr:colOff>
      <xdr:row>336</xdr:row>
      <xdr:rowOff>95250</xdr:rowOff>
    </xdr:to>
    <xdr:sp macro="" textlink="">
      <xdr:nvSpPr>
        <xdr:cNvPr id="1148" name="TextBox 1147"/>
        <xdr:cNvSpPr txBox="1"/>
      </xdr:nvSpPr>
      <xdr:spPr>
        <a:xfrm>
          <a:off x="2133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330</xdr:row>
      <xdr:rowOff>0</xdr:rowOff>
    </xdr:from>
    <xdr:to>
      <xdr:col>12</xdr:col>
      <xdr:colOff>304800</xdr:colOff>
      <xdr:row>336</xdr:row>
      <xdr:rowOff>95250</xdr:rowOff>
    </xdr:to>
    <xdr:sp macro="" textlink="">
      <xdr:nvSpPr>
        <xdr:cNvPr id="1149" name="TextBox 1148"/>
        <xdr:cNvSpPr txBox="1"/>
      </xdr:nvSpPr>
      <xdr:spPr>
        <a:xfrm>
          <a:off x="6705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360</xdr:row>
      <xdr:rowOff>0</xdr:rowOff>
    </xdr:from>
    <xdr:to>
      <xdr:col>2</xdr:col>
      <xdr:colOff>114300</xdr:colOff>
      <xdr:row>365</xdr:row>
      <xdr:rowOff>95250</xdr:rowOff>
    </xdr:to>
    <xdr:sp macro="" textlink="">
      <xdr:nvSpPr>
        <xdr:cNvPr id="1150" name="TextBox 1149"/>
        <xdr:cNvSpPr txBox="1"/>
      </xdr:nvSpPr>
      <xdr:spPr>
        <a:xfrm>
          <a:off x="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360</xdr:row>
      <xdr:rowOff>0</xdr:rowOff>
    </xdr:from>
    <xdr:to>
      <xdr:col>9</xdr:col>
      <xdr:colOff>114300</xdr:colOff>
      <xdr:row>365</xdr:row>
      <xdr:rowOff>95250</xdr:rowOff>
    </xdr:to>
    <xdr:sp macro="" textlink="">
      <xdr:nvSpPr>
        <xdr:cNvPr id="1151" name="TextBox 1150"/>
        <xdr:cNvSpPr txBox="1"/>
      </xdr:nvSpPr>
      <xdr:spPr>
        <a:xfrm>
          <a:off x="457200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360</xdr:row>
      <xdr:rowOff>0</xdr:rowOff>
    </xdr:from>
    <xdr:to>
      <xdr:col>5</xdr:col>
      <xdr:colOff>304800</xdr:colOff>
      <xdr:row>366</xdr:row>
      <xdr:rowOff>95250</xdr:rowOff>
    </xdr:to>
    <xdr:sp macro="" textlink="">
      <xdr:nvSpPr>
        <xdr:cNvPr id="1152" name="TextBox 1151"/>
        <xdr:cNvSpPr txBox="1"/>
      </xdr:nvSpPr>
      <xdr:spPr>
        <a:xfrm>
          <a:off x="2133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360</xdr:row>
      <xdr:rowOff>0</xdr:rowOff>
    </xdr:from>
    <xdr:to>
      <xdr:col>12</xdr:col>
      <xdr:colOff>304800</xdr:colOff>
      <xdr:row>366</xdr:row>
      <xdr:rowOff>95250</xdr:rowOff>
    </xdr:to>
    <xdr:sp macro="" textlink="">
      <xdr:nvSpPr>
        <xdr:cNvPr id="1153" name="TextBox 1152"/>
        <xdr:cNvSpPr txBox="1"/>
      </xdr:nvSpPr>
      <xdr:spPr>
        <a:xfrm>
          <a:off x="6705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390</xdr:row>
      <xdr:rowOff>0</xdr:rowOff>
    </xdr:from>
    <xdr:to>
      <xdr:col>2</xdr:col>
      <xdr:colOff>114300</xdr:colOff>
      <xdr:row>395</xdr:row>
      <xdr:rowOff>95250</xdr:rowOff>
    </xdr:to>
    <xdr:sp macro="" textlink="">
      <xdr:nvSpPr>
        <xdr:cNvPr id="1154" name="TextBox 1153"/>
        <xdr:cNvSpPr txBox="1"/>
      </xdr:nvSpPr>
      <xdr:spPr>
        <a:xfrm>
          <a:off x="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390</xdr:row>
      <xdr:rowOff>0</xdr:rowOff>
    </xdr:from>
    <xdr:to>
      <xdr:col>9</xdr:col>
      <xdr:colOff>114300</xdr:colOff>
      <xdr:row>395</xdr:row>
      <xdr:rowOff>95250</xdr:rowOff>
    </xdr:to>
    <xdr:sp macro="" textlink="">
      <xdr:nvSpPr>
        <xdr:cNvPr id="1155" name="TextBox 1154"/>
        <xdr:cNvSpPr txBox="1"/>
      </xdr:nvSpPr>
      <xdr:spPr>
        <a:xfrm>
          <a:off x="457200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390</xdr:row>
      <xdr:rowOff>0</xdr:rowOff>
    </xdr:from>
    <xdr:to>
      <xdr:col>5</xdr:col>
      <xdr:colOff>304800</xdr:colOff>
      <xdr:row>396</xdr:row>
      <xdr:rowOff>95250</xdr:rowOff>
    </xdr:to>
    <xdr:sp macro="" textlink="">
      <xdr:nvSpPr>
        <xdr:cNvPr id="1156" name="TextBox 1155"/>
        <xdr:cNvSpPr txBox="1"/>
      </xdr:nvSpPr>
      <xdr:spPr>
        <a:xfrm>
          <a:off x="2133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390</xdr:row>
      <xdr:rowOff>0</xdr:rowOff>
    </xdr:from>
    <xdr:to>
      <xdr:col>12</xdr:col>
      <xdr:colOff>304800</xdr:colOff>
      <xdr:row>396</xdr:row>
      <xdr:rowOff>95250</xdr:rowOff>
    </xdr:to>
    <xdr:sp macro="" textlink="">
      <xdr:nvSpPr>
        <xdr:cNvPr id="1157" name="TextBox 1156"/>
        <xdr:cNvSpPr txBox="1"/>
      </xdr:nvSpPr>
      <xdr:spPr>
        <a:xfrm>
          <a:off x="6705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420</xdr:row>
      <xdr:rowOff>0</xdr:rowOff>
    </xdr:from>
    <xdr:to>
      <xdr:col>2</xdr:col>
      <xdr:colOff>114300</xdr:colOff>
      <xdr:row>425</xdr:row>
      <xdr:rowOff>95250</xdr:rowOff>
    </xdr:to>
    <xdr:sp macro="" textlink="">
      <xdr:nvSpPr>
        <xdr:cNvPr id="1158" name="TextBox 1157"/>
        <xdr:cNvSpPr txBox="1"/>
      </xdr:nvSpPr>
      <xdr:spPr>
        <a:xfrm>
          <a:off x="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420</xdr:row>
      <xdr:rowOff>0</xdr:rowOff>
    </xdr:from>
    <xdr:to>
      <xdr:col>9</xdr:col>
      <xdr:colOff>114300</xdr:colOff>
      <xdr:row>425</xdr:row>
      <xdr:rowOff>95250</xdr:rowOff>
    </xdr:to>
    <xdr:sp macro="" textlink="">
      <xdr:nvSpPr>
        <xdr:cNvPr id="1159" name="TextBox 1158"/>
        <xdr:cNvSpPr txBox="1"/>
      </xdr:nvSpPr>
      <xdr:spPr>
        <a:xfrm>
          <a:off x="457200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420</xdr:row>
      <xdr:rowOff>0</xdr:rowOff>
    </xdr:from>
    <xdr:to>
      <xdr:col>5</xdr:col>
      <xdr:colOff>304800</xdr:colOff>
      <xdr:row>426</xdr:row>
      <xdr:rowOff>95250</xdr:rowOff>
    </xdr:to>
    <xdr:sp macro="" textlink="">
      <xdr:nvSpPr>
        <xdr:cNvPr id="1160" name="TextBox 1159"/>
        <xdr:cNvSpPr txBox="1"/>
      </xdr:nvSpPr>
      <xdr:spPr>
        <a:xfrm>
          <a:off x="2133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420</xdr:row>
      <xdr:rowOff>0</xdr:rowOff>
    </xdr:from>
    <xdr:to>
      <xdr:col>12</xdr:col>
      <xdr:colOff>304800</xdr:colOff>
      <xdr:row>426</xdr:row>
      <xdr:rowOff>95250</xdr:rowOff>
    </xdr:to>
    <xdr:sp macro="" textlink="">
      <xdr:nvSpPr>
        <xdr:cNvPr id="1161" name="TextBox 1160"/>
        <xdr:cNvSpPr txBox="1"/>
      </xdr:nvSpPr>
      <xdr:spPr>
        <a:xfrm>
          <a:off x="6705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450</xdr:row>
      <xdr:rowOff>0</xdr:rowOff>
    </xdr:from>
    <xdr:to>
      <xdr:col>2</xdr:col>
      <xdr:colOff>114300</xdr:colOff>
      <xdr:row>455</xdr:row>
      <xdr:rowOff>95250</xdr:rowOff>
    </xdr:to>
    <xdr:sp macro="" textlink="">
      <xdr:nvSpPr>
        <xdr:cNvPr id="1162" name="TextBox 1161"/>
        <xdr:cNvSpPr txBox="1"/>
      </xdr:nvSpPr>
      <xdr:spPr>
        <a:xfrm>
          <a:off x="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9</xdr:col>
      <xdr:colOff>114300</xdr:colOff>
      <xdr:row>455</xdr:row>
      <xdr:rowOff>95250</xdr:rowOff>
    </xdr:to>
    <xdr:sp macro="" textlink="">
      <xdr:nvSpPr>
        <xdr:cNvPr id="1163" name="TextBox 1162"/>
        <xdr:cNvSpPr txBox="1"/>
      </xdr:nvSpPr>
      <xdr:spPr>
        <a:xfrm>
          <a:off x="457200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450</xdr:row>
      <xdr:rowOff>0</xdr:rowOff>
    </xdr:from>
    <xdr:to>
      <xdr:col>5</xdr:col>
      <xdr:colOff>304800</xdr:colOff>
      <xdr:row>456</xdr:row>
      <xdr:rowOff>95250</xdr:rowOff>
    </xdr:to>
    <xdr:sp macro="" textlink="">
      <xdr:nvSpPr>
        <xdr:cNvPr id="1164" name="TextBox 1163"/>
        <xdr:cNvSpPr txBox="1"/>
      </xdr:nvSpPr>
      <xdr:spPr>
        <a:xfrm>
          <a:off x="2133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450</xdr:row>
      <xdr:rowOff>0</xdr:rowOff>
    </xdr:from>
    <xdr:to>
      <xdr:col>12</xdr:col>
      <xdr:colOff>304800</xdr:colOff>
      <xdr:row>456</xdr:row>
      <xdr:rowOff>95250</xdr:rowOff>
    </xdr:to>
    <xdr:sp macro="" textlink="">
      <xdr:nvSpPr>
        <xdr:cNvPr id="1165" name="TextBox 1164"/>
        <xdr:cNvSpPr txBox="1"/>
      </xdr:nvSpPr>
      <xdr:spPr>
        <a:xfrm>
          <a:off x="6705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480</xdr:row>
      <xdr:rowOff>0</xdr:rowOff>
    </xdr:from>
    <xdr:to>
      <xdr:col>2</xdr:col>
      <xdr:colOff>114300</xdr:colOff>
      <xdr:row>485</xdr:row>
      <xdr:rowOff>95250</xdr:rowOff>
    </xdr:to>
    <xdr:sp macro="" textlink="">
      <xdr:nvSpPr>
        <xdr:cNvPr id="1166" name="TextBox 1165"/>
        <xdr:cNvSpPr txBox="1"/>
      </xdr:nvSpPr>
      <xdr:spPr>
        <a:xfrm>
          <a:off x="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480</xdr:row>
      <xdr:rowOff>0</xdr:rowOff>
    </xdr:from>
    <xdr:to>
      <xdr:col>9</xdr:col>
      <xdr:colOff>114300</xdr:colOff>
      <xdr:row>485</xdr:row>
      <xdr:rowOff>95250</xdr:rowOff>
    </xdr:to>
    <xdr:sp macro="" textlink="">
      <xdr:nvSpPr>
        <xdr:cNvPr id="1167" name="TextBox 1166"/>
        <xdr:cNvSpPr txBox="1"/>
      </xdr:nvSpPr>
      <xdr:spPr>
        <a:xfrm>
          <a:off x="457200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480</xdr:row>
      <xdr:rowOff>0</xdr:rowOff>
    </xdr:from>
    <xdr:to>
      <xdr:col>5</xdr:col>
      <xdr:colOff>304800</xdr:colOff>
      <xdr:row>486</xdr:row>
      <xdr:rowOff>95250</xdr:rowOff>
    </xdr:to>
    <xdr:sp macro="" textlink="">
      <xdr:nvSpPr>
        <xdr:cNvPr id="1168" name="TextBox 1167"/>
        <xdr:cNvSpPr txBox="1"/>
      </xdr:nvSpPr>
      <xdr:spPr>
        <a:xfrm>
          <a:off x="2133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480</xdr:row>
      <xdr:rowOff>0</xdr:rowOff>
    </xdr:from>
    <xdr:to>
      <xdr:col>12</xdr:col>
      <xdr:colOff>304800</xdr:colOff>
      <xdr:row>486</xdr:row>
      <xdr:rowOff>95250</xdr:rowOff>
    </xdr:to>
    <xdr:sp macro="" textlink="">
      <xdr:nvSpPr>
        <xdr:cNvPr id="1169" name="TextBox 1168"/>
        <xdr:cNvSpPr txBox="1"/>
      </xdr:nvSpPr>
      <xdr:spPr>
        <a:xfrm>
          <a:off x="6705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510</xdr:row>
      <xdr:rowOff>0</xdr:rowOff>
    </xdr:from>
    <xdr:to>
      <xdr:col>2</xdr:col>
      <xdr:colOff>114300</xdr:colOff>
      <xdr:row>515</xdr:row>
      <xdr:rowOff>95250</xdr:rowOff>
    </xdr:to>
    <xdr:sp macro="" textlink="">
      <xdr:nvSpPr>
        <xdr:cNvPr id="1170" name="TextBox 1169"/>
        <xdr:cNvSpPr txBox="1"/>
      </xdr:nvSpPr>
      <xdr:spPr>
        <a:xfrm>
          <a:off x="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510</xdr:row>
      <xdr:rowOff>0</xdr:rowOff>
    </xdr:from>
    <xdr:to>
      <xdr:col>9</xdr:col>
      <xdr:colOff>114300</xdr:colOff>
      <xdr:row>515</xdr:row>
      <xdr:rowOff>95250</xdr:rowOff>
    </xdr:to>
    <xdr:sp macro="" textlink="">
      <xdr:nvSpPr>
        <xdr:cNvPr id="1171" name="TextBox 1170"/>
        <xdr:cNvSpPr txBox="1"/>
      </xdr:nvSpPr>
      <xdr:spPr>
        <a:xfrm>
          <a:off x="457200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510</xdr:row>
      <xdr:rowOff>0</xdr:rowOff>
    </xdr:from>
    <xdr:to>
      <xdr:col>5</xdr:col>
      <xdr:colOff>304800</xdr:colOff>
      <xdr:row>516</xdr:row>
      <xdr:rowOff>95250</xdr:rowOff>
    </xdr:to>
    <xdr:sp macro="" textlink="">
      <xdr:nvSpPr>
        <xdr:cNvPr id="1172" name="TextBox 1171"/>
        <xdr:cNvSpPr txBox="1"/>
      </xdr:nvSpPr>
      <xdr:spPr>
        <a:xfrm>
          <a:off x="2133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510</xdr:row>
      <xdr:rowOff>0</xdr:rowOff>
    </xdr:from>
    <xdr:to>
      <xdr:col>12</xdr:col>
      <xdr:colOff>304800</xdr:colOff>
      <xdr:row>516</xdr:row>
      <xdr:rowOff>95250</xdr:rowOff>
    </xdr:to>
    <xdr:sp macro="" textlink="">
      <xdr:nvSpPr>
        <xdr:cNvPr id="1173" name="TextBox 1172"/>
        <xdr:cNvSpPr txBox="1"/>
      </xdr:nvSpPr>
      <xdr:spPr>
        <a:xfrm>
          <a:off x="6705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540</xdr:row>
      <xdr:rowOff>0</xdr:rowOff>
    </xdr:from>
    <xdr:to>
      <xdr:col>2</xdr:col>
      <xdr:colOff>114300</xdr:colOff>
      <xdr:row>545</xdr:row>
      <xdr:rowOff>95250</xdr:rowOff>
    </xdr:to>
    <xdr:sp macro="" textlink="">
      <xdr:nvSpPr>
        <xdr:cNvPr id="1174" name="TextBox 1173"/>
        <xdr:cNvSpPr txBox="1"/>
      </xdr:nvSpPr>
      <xdr:spPr>
        <a:xfrm>
          <a:off x="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540</xdr:row>
      <xdr:rowOff>0</xdr:rowOff>
    </xdr:from>
    <xdr:to>
      <xdr:col>9</xdr:col>
      <xdr:colOff>114300</xdr:colOff>
      <xdr:row>545</xdr:row>
      <xdr:rowOff>95250</xdr:rowOff>
    </xdr:to>
    <xdr:sp macro="" textlink="">
      <xdr:nvSpPr>
        <xdr:cNvPr id="1175" name="TextBox 1174"/>
        <xdr:cNvSpPr txBox="1"/>
      </xdr:nvSpPr>
      <xdr:spPr>
        <a:xfrm>
          <a:off x="457200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540</xdr:row>
      <xdr:rowOff>0</xdr:rowOff>
    </xdr:from>
    <xdr:to>
      <xdr:col>5</xdr:col>
      <xdr:colOff>304800</xdr:colOff>
      <xdr:row>546</xdr:row>
      <xdr:rowOff>95250</xdr:rowOff>
    </xdr:to>
    <xdr:sp macro="" textlink="">
      <xdr:nvSpPr>
        <xdr:cNvPr id="1176" name="TextBox 1175"/>
        <xdr:cNvSpPr txBox="1"/>
      </xdr:nvSpPr>
      <xdr:spPr>
        <a:xfrm>
          <a:off x="2133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540</xdr:row>
      <xdr:rowOff>0</xdr:rowOff>
    </xdr:from>
    <xdr:to>
      <xdr:col>12</xdr:col>
      <xdr:colOff>304800</xdr:colOff>
      <xdr:row>546</xdr:row>
      <xdr:rowOff>95250</xdr:rowOff>
    </xdr:to>
    <xdr:sp macro="" textlink="">
      <xdr:nvSpPr>
        <xdr:cNvPr id="1177" name="TextBox 1176"/>
        <xdr:cNvSpPr txBox="1"/>
      </xdr:nvSpPr>
      <xdr:spPr>
        <a:xfrm>
          <a:off x="6705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570</xdr:row>
      <xdr:rowOff>0</xdr:rowOff>
    </xdr:from>
    <xdr:to>
      <xdr:col>2</xdr:col>
      <xdr:colOff>114300</xdr:colOff>
      <xdr:row>575</xdr:row>
      <xdr:rowOff>95250</xdr:rowOff>
    </xdr:to>
    <xdr:sp macro="" textlink="">
      <xdr:nvSpPr>
        <xdr:cNvPr id="1178" name="TextBox 1177"/>
        <xdr:cNvSpPr txBox="1"/>
      </xdr:nvSpPr>
      <xdr:spPr>
        <a:xfrm>
          <a:off x="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570</xdr:row>
      <xdr:rowOff>0</xdr:rowOff>
    </xdr:from>
    <xdr:to>
      <xdr:col>9</xdr:col>
      <xdr:colOff>114300</xdr:colOff>
      <xdr:row>575</xdr:row>
      <xdr:rowOff>95250</xdr:rowOff>
    </xdr:to>
    <xdr:sp macro="" textlink="">
      <xdr:nvSpPr>
        <xdr:cNvPr id="1179" name="TextBox 1178"/>
        <xdr:cNvSpPr txBox="1"/>
      </xdr:nvSpPr>
      <xdr:spPr>
        <a:xfrm>
          <a:off x="457200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570</xdr:row>
      <xdr:rowOff>0</xdr:rowOff>
    </xdr:from>
    <xdr:to>
      <xdr:col>5</xdr:col>
      <xdr:colOff>304800</xdr:colOff>
      <xdr:row>576</xdr:row>
      <xdr:rowOff>95250</xdr:rowOff>
    </xdr:to>
    <xdr:sp macro="" textlink="">
      <xdr:nvSpPr>
        <xdr:cNvPr id="1180" name="TextBox 1179"/>
        <xdr:cNvSpPr txBox="1"/>
      </xdr:nvSpPr>
      <xdr:spPr>
        <a:xfrm>
          <a:off x="2133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570</xdr:row>
      <xdr:rowOff>0</xdr:rowOff>
    </xdr:from>
    <xdr:to>
      <xdr:col>12</xdr:col>
      <xdr:colOff>304800</xdr:colOff>
      <xdr:row>576</xdr:row>
      <xdr:rowOff>95250</xdr:rowOff>
    </xdr:to>
    <xdr:sp macro="" textlink="">
      <xdr:nvSpPr>
        <xdr:cNvPr id="1181" name="TextBox 1180"/>
        <xdr:cNvSpPr txBox="1"/>
      </xdr:nvSpPr>
      <xdr:spPr>
        <a:xfrm>
          <a:off x="6705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2</xdr:col>
      <xdr:colOff>114300</xdr:colOff>
      <xdr:row>605</xdr:row>
      <xdr:rowOff>95250</xdr:rowOff>
    </xdr:to>
    <xdr:sp macro="" textlink="">
      <xdr:nvSpPr>
        <xdr:cNvPr id="1182" name="TextBox 1181"/>
        <xdr:cNvSpPr txBox="1"/>
      </xdr:nvSpPr>
      <xdr:spPr>
        <a:xfrm>
          <a:off x="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600</xdr:row>
      <xdr:rowOff>0</xdr:rowOff>
    </xdr:from>
    <xdr:to>
      <xdr:col>9</xdr:col>
      <xdr:colOff>114300</xdr:colOff>
      <xdr:row>605</xdr:row>
      <xdr:rowOff>95250</xdr:rowOff>
    </xdr:to>
    <xdr:sp macro="" textlink="">
      <xdr:nvSpPr>
        <xdr:cNvPr id="1183" name="TextBox 1182"/>
        <xdr:cNvSpPr txBox="1"/>
      </xdr:nvSpPr>
      <xdr:spPr>
        <a:xfrm>
          <a:off x="457200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600</xdr:row>
      <xdr:rowOff>0</xdr:rowOff>
    </xdr:from>
    <xdr:to>
      <xdr:col>5</xdr:col>
      <xdr:colOff>304800</xdr:colOff>
      <xdr:row>606</xdr:row>
      <xdr:rowOff>95250</xdr:rowOff>
    </xdr:to>
    <xdr:sp macro="" textlink="">
      <xdr:nvSpPr>
        <xdr:cNvPr id="1184" name="TextBox 1183"/>
        <xdr:cNvSpPr txBox="1"/>
      </xdr:nvSpPr>
      <xdr:spPr>
        <a:xfrm>
          <a:off x="2133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600</xdr:row>
      <xdr:rowOff>0</xdr:rowOff>
    </xdr:from>
    <xdr:to>
      <xdr:col>12</xdr:col>
      <xdr:colOff>304800</xdr:colOff>
      <xdr:row>606</xdr:row>
      <xdr:rowOff>95250</xdr:rowOff>
    </xdr:to>
    <xdr:sp macro="" textlink="">
      <xdr:nvSpPr>
        <xdr:cNvPr id="1185" name="TextBox 1184"/>
        <xdr:cNvSpPr txBox="1"/>
      </xdr:nvSpPr>
      <xdr:spPr>
        <a:xfrm>
          <a:off x="6705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630</xdr:row>
      <xdr:rowOff>0</xdr:rowOff>
    </xdr:from>
    <xdr:to>
      <xdr:col>2</xdr:col>
      <xdr:colOff>114300</xdr:colOff>
      <xdr:row>635</xdr:row>
      <xdr:rowOff>95250</xdr:rowOff>
    </xdr:to>
    <xdr:sp macro="" textlink="">
      <xdr:nvSpPr>
        <xdr:cNvPr id="1186" name="TextBox 1185"/>
        <xdr:cNvSpPr txBox="1"/>
      </xdr:nvSpPr>
      <xdr:spPr>
        <a:xfrm>
          <a:off x="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630</xdr:row>
      <xdr:rowOff>0</xdr:rowOff>
    </xdr:from>
    <xdr:to>
      <xdr:col>9</xdr:col>
      <xdr:colOff>114300</xdr:colOff>
      <xdr:row>635</xdr:row>
      <xdr:rowOff>95250</xdr:rowOff>
    </xdr:to>
    <xdr:sp macro="" textlink="">
      <xdr:nvSpPr>
        <xdr:cNvPr id="1187" name="TextBox 1186"/>
        <xdr:cNvSpPr txBox="1"/>
      </xdr:nvSpPr>
      <xdr:spPr>
        <a:xfrm>
          <a:off x="457200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630</xdr:row>
      <xdr:rowOff>0</xdr:rowOff>
    </xdr:from>
    <xdr:to>
      <xdr:col>5</xdr:col>
      <xdr:colOff>304800</xdr:colOff>
      <xdr:row>636</xdr:row>
      <xdr:rowOff>95250</xdr:rowOff>
    </xdr:to>
    <xdr:sp macro="" textlink="">
      <xdr:nvSpPr>
        <xdr:cNvPr id="1188" name="TextBox 1187"/>
        <xdr:cNvSpPr txBox="1"/>
      </xdr:nvSpPr>
      <xdr:spPr>
        <a:xfrm>
          <a:off x="2133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630</xdr:row>
      <xdr:rowOff>0</xdr:rowOff>
    </xdr:from>
    <xdr:to>
      <xdr:col>12</xdr:col>
      <xdr:colOff>304800</xdr:colOff>
      <xdr:row>636</xdr:row>
      <xdr:rowOff>95250</xdr:rowOff>
    </xdr:to>
    <xdr:sp macro="" textlink="">
      <xdr:nvSpPr>
        <xdr:cNvPr id="1189" name="TextBox 1188"/>
        <xdr:cNvSpPr txBox="1"/>
      </xdr:nvSpPr>
      <xdr:spPr>
        <a:xfrm>
          <a:off x="6705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660</xdr:row>
      <xdr:rowOff>0</xdr:rowOff>
    </xdr:from>
    <xdr:to>
      <xdr:col>2</xdr:col>
      <xdr:colOff>114300</xdr:colOff>
      <xdr:row>665</xdr:row>
      <xdr:rowOff>95250</xdr:rowOff>
    </xdr:to>
    <xdr:sp macro="" textlink="">
      <xdr:nvSpPr>
        <xdr:cNvPr id="1190" name="TextBox 1189"/>
        <xdr:cNvSpPr txBox="1"/>
      </xdr:nvSpPr>
      <xdr:spPr>
        <a:xfrm>
          <a:off x="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660</xdr:row>
      <xdr:rowOff>0</xdr:rowOff>
    </xdr:from>
    <xdr:to>
      <xdr:col>9</xdr:col>
      <xdr:colOff>114300</xdr:colOff>
      <xdr:row>665</xdr:row>
      <xdr:rowOff>95250</xdr:rowOff>
    </xdr:to>
    <xdr:sp macro="" textlink="">
      <xdr:nvSpPr>
        <xdr:cNvPr id="1191" name="TextBox 1190"/>
        <xdr:cNvSpPr txBox="1"/>
      </xdr:nvSpPr>
      <xdr:spPr>
        <a:xfrm>
          <a:off x="457200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660</xdr:row>
      <xdr:rowOff>0</xdr:rowOff>
    </xdr:from>
    <xdr:to>
      <xdr:col>5</xdr:col>
      <xdr:colOff>304800</xdr:colOff>
      <xdr:row>666</xdr:row>
      <xdr:rowOff>95250</xdr:rowOff>
    </xdr:to>
    <xdr:sp macro="" textlink="">
      <xdr:nvSpPr>
        <xdr:cNvPr id="1192" name="TextBox 1191"/>
        <xdr:cNvSpPr txBox="1"/>
      </xdr:nvSpPr>
      <xdr:spPr>
        <a:xfrm>
          <a:off x="2133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660</xdr:row>
      <xdr:rowOff>0</xdr:rowOff>
    </xdr:from>
    <xdr:to>
      <xdr:col>12</xdr:col>
      <xdr:colOff>304800</xdr:colOff>
      <xdr:row>666</xdr:row>
      <xdr:rowOff>95250</xdr:rowOff>
    </xdr:to>
    <xdr:sp macro="" textlink="">
      <xdr:nvSpPr>
        <xdr:cNvPr id="1193" name="TextBox 1192"/>
        <xdr:cNvSpPr txBox="1"/>
      </xdr:nvSpPr>
      <xdr:spPr>
        <a:xfrm>
          <a:off x="6705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690</xdr:row>
      <xdr:rowOff>0</xdr:rowOff>
    </xdr:from>
    <xdr:to>
      <xdr:col>2</xdr:col>
      <xdr:colOff>114300</xdr:colOff>
      <xdr:row>695</xdr:row>
      <xdr:rowOff>95250</xdr:rowOff>
    </xdr:to>
    <xdr:sp macro="" textlink="">
      <xdr:nvSpPr>
        <xdr:cNvPr id="1194" name="TextBox 1193"/>
        <xdr:cNvSpPr txBox="1"/>
      </xdr:nvSpPr>
      <xdr:spPr>
        <a:xfrm>
          <a:off x="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9</xdr:col>
      <xdr:colOff>114300</xdr:colOff>
      <xdr:row>695</xdr:row>
      <xdr:rowOff>95250</xdr:rowOff>
    </xdr:to>
    <xdr:sp macro="" textlink="">
      <xdr:nvSpPr>
        <xdr:cNvPr id="1195" name="TextBox 1194"/>
        <xdr:cNvSpPr txBox="1"/>
      </xdr:nvSpPr>
      <xdr:spPr>
        <a:xfrm>
          <a:off x="457200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690</xdr:row>
      <xdr:rowOff>0</xdr:rowOff>
    </xdr:from>
    <xdr:to>
      <xdr:col>5</xdr:col>
      <xdr:colOff>304800</xdr:colOff>
      <xdr:row>696</xdr:row>
      <xdr:rowOff>95250</xdr:rowOff>
    </xdr:to>
    <xdr:sp macro="" textlink="">
      <xdr:nvSpPr>
        <xdr:cNvPr id="1196" name="TextBox 1195"/>
        <xdr:cNvSpPr txBox="1"/>
      </xdr:nvSpPr>
      <xdr:spPr>
        <a:xfrm>
          <a:off x="2133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690</xdr:row>
      <xdr:rowOff>0</xdr:rowOff>
    </xdr:from>
    <xdr:to>
      <xdr:col>12</xdr:col>
      <xdr:colOff>304800</xdr:colOff>
      <xdr:row>696</xdr:row>
      <xdr:rowOff>95250</xdr:rowOff>
    </xdr:to>
    <xdr:sp macro="" textlink="">
      <xdr:nvSpPr>
        <xdr:cNvPr id="1197" name="TextBox 1196"/>
        <xdr:cNvSpPr txBox="1"/>
      </xdr:nvSpPr>
      <xdr:spPr>
        <a:xfrm>
          <a:off x="6705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720</xdr:row>
      <xdr:rowOff>0</xdr:rowOff>
    </xdr:from>
    <xdr:to>
      <xdr:col>2</xdr:col>
      <xdr:colOff>114300</xdr:colOff>
      <xdr:row>725</xdr:row>
      <xdr:rowOff>95250</xdr:rowOff>
    </xdr:to>
    <xdr:sp macro="" textlink="">
      <xdr:nvSpPr>
        <xdr:cNvPr id="1198" name="TextBox 1197"/>
        <xdr:cNvSpPr txBox="1"/>
      </xdr:nvSpPr>
      <xdr:spPr>
        <a:xfrm>
          <a:off x="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720</xdr:row>
      <xdr:rowOff>0</xdr:rowOff>
    </xdr:from>
    <xdr:to>
      <xdr:col>9</xdr:col>
      <xdr:colOff>114300</xdr:colOff>
      <xdr:row>725</xdr:row>
      <xdr:rowOff>95250</xdr:rowOff>
    </xdr:to>
    <xdr:sp macro="" textlink="">
      <xdr:nvSpPr>
        <xdr:cNvPr id="1199" name="TextBox 1198"/>
        <xdr:cNvSpPr txBox="1"/>
      </xdr:nvSpPr>
      <xdr:spPr>
        <a:xfrm>
          <a:off x="457200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720</xdr:row>
      <xdr:rowOff>0</xdr:rowOff>
    </xdr:from>
    <xdr:to>
      <xdr:col>5</xdr:col>
      <xdr:colOff>304800</xdr:colOff>
      <xdr:row>726</xdr:row>
      <xdr:rowOff>95250</xdr:rowOff>
    </xdr:to>
    <xdr:sp macro="" textlink="">
      <xdr:nvSpPr>
        <xdr:cNvPr id="1200" name="TextBox 1199"/>
        <xdr:cNvSpPr txBox="1"/>
      </xdr:nvSpPr>
      <xdr:spPr>
        <a:xfrm>
          <a:off x="2133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720</xdr:row>
      <xdr:rowOff>0</xdr:rowOff>
    </xdr:from>
    <xdr:to>
      <xdr:col>12</xdr:col>
      <xdr:colOff>304800</xdr:colOff>
      <xdr:row>726</xdr:row>
      <xdr:rowOff>95250</xdr:rowOff>
    </xdr:to>
    <xdr:sp macro="" textlink="">
      <xdr:nvSpPr>
        <xdr:cNvPr id="1201" name="TextBox 1200"/>
        <xdr:cNvSpPr txBox="1"/>
      </xdr:nvSpPr>
      <xdr:spPr>
        <a:xfrm>
          <a:off x="6705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750</xdr:row>
      <xdr:rowOff>0</xdr:rowOff>
    </xdr:from>
    <xdr:to>
      <xdr:col>2</xdr:col>
      <xdr:colOff>114300</xdr:colOff>
      <xdr:row>755</xdr:row>
      <xdr:rowOff>95250</xdr:rowOff>
    </xdr:to>
    <xdr:sp macro="" textlink="">
      <xdr:nvSpPr>
        <xdr:cNvPr id="1202" name="TextBox 1201"/>
        <xdr:cNvSpPr txBox="1"/>
      </xdr:nvSpPr>
      <xdr:spPr>
        <a:xfrm>
          <a:off x="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750</xdr:row>
      <xdr:rowOff>0</xdr:rowOff>
    </xdr:from>
    <xdr:to>
      <xdr:col>9</xdr:col>
      <xdr:colOff>114300</xdr:colOff>
      <xdr:row>755</xdr:row>
      <xdr:rowOff>95250</xdr:rowOff>
    </xdr:to>
    <xdr:sp macro="" textlink="">
      <xdr:nvSpPr>
        <xdr:cNvPr id="1203" name="TextBox 1202"/>
        <xdr:cNvSpPr txBox="1"/>
      </xdr:nvSpPr>
      <xdr:spPr>
        <a:xfrm>
          <a:off x="457200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750</xdr:row>
      <xdr:rowOff>0</xdr:rowOff>
    </xdr:from>
    <xdr:to>
      <xdr:col>5</xdr:col>
      <xdr:colOff>304800</xdr:colOff>
      <xdr:row>756</xdr:row>
      <xdr:rowOff>95250</xdr:rowOff>
    </xdr:to>
    <xdr:sp macro="" textlink="">
      <xdr:nvSpPr>
        <xdr:cNvPr id="1204" name="TextBox 1203"/>
        <xdr:cNvSpPr txBox="1"/>
      </xdr:nvSpPr>
      <xdr:spPr>
        <a:xfrm>
          <a:off x="2133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750</xdr:row>
      <xdr:rowOff>0</xdr:rowOff>
    </xdr:from>
    <xdr:to>
      <xdr:col>12</xdr:col>
      <xdr:colOff>304800</xdr:colOff>
      <xdr:row>756</xdr:row>
      <xdr:rowOff>95250</xdr:rowOff>
    </xdr:to>
    <xdr:sp macro="" textlink="">
      <xdr:nvSpPr>
        <xdr:cNvPr id="1205" name="TextBox 1204"/>
        <xdr:cNvSpPr txBox="1"/>
      </xdr:nvSpPr>
      <xdr:spPr>
        <a:xfrm>
          <a:off x="6705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780</xdr:row>
      <xdr:rowOff>0</xdr:rowOff>
    </xdr:from>
    <xdr:to>
      <xdr:col>2</xdr:col>
      <xdr:colOff>114300</xdr:colOff>
      <xdr:row>785</xdr:row>
      <xdr:rowOff>95250</xdr:rowOff>
    </xdr:to>
    <xdr:sp macro="" textlink="">
      <xdr:nvSpPr>
        <xdr:cNvPr id="1206" name="TextBox 1205"/>
        <xdr:cNvSpPr txBox="1"/>
      </xdr:nvSpPr>
      <xdr:spPr>
        <a:xfrm>
          <a:off x="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780</xdr:row>
      <xdr:rowOff>0</xdr:rowOff>
    </xdr:from>
    <xdr:to>
      <xdr:col>9</xdr:col>
      <xdr:colOff>114300</xdr:colOff>
      <xdr:row>785</xdr:row>
      <xdr:rowOff>95250</xdr:rowOff>
    </xdr:to>
    <xdr:sp macro="" textlink="">
      <xdr:nvSpPr>
        <xdr:cNvPr id="1207" name="TextBox 1206"/>
        <xdr:cNvSpPr txBox="1"/>
      </xdr:nvSpPr>
      <xdr:spPr>
        <a:xfrm>
          <a:off x="457200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780</xdr:row>
      <xdr:rowOff>0</xdr:rowOff>
    </xdr:from>
    <xdr:to>
      <xdr:col>5</xdr:col>
      <xdr:colOff>304800</xdr:colOff>
      <xdr:row>786</xdr:row>
      <xdr:rowOff>95250</xdr:rowOff>
    </xdr:to>
    <xdr:sp macro="" textlink="">
      <xdr:nvSpPr>
        <xdr:cNvPr id="1208" name="TextBox 1207"/>
        <xdr:cNvSpPr txBox="1"/>
      </xdr:nvSpPr>
      <xdr:spPr>
        <a:xfrm>
          <a:off x="2133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780</xdr:row>
      <xdr:rowOff>0</xdr:rowOff>
    </xdr:from>
    <xdr:to>
      <xdr:col>12</xdr:col>
      <xdr:colOff>304800</xdr:colOff>
      <xdr:row>786</xdr:row>
      <xdr:rowOff>95250</xdr:rowOff>
    </xdr:to>
    <xdr:sp macro="" textlink="">
      <xdr:nvSpPr>
        <xdr:cNvPr id="1209" name="TextBox 1208"/>
        <xdr:cNvSpPr txBox="1"/>
      </xdr:nvSpPr>
      <xdr:spPr>
        <a:xfrm>
          <a:off x="6705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810</xdr:row>
      <xdr:rowOff>0</xdr:rowOff>
    </xdr:from>
    <xdr:to>
      <xdr:col>2</xdr:col>
      <xdr:colOff>114300</xdr:colOff>
      <xdr:row>815</xdr:row>
      <xdr:rowOff>95250</xdr:rowOff>
    </xdr:to>
    <xdr:sp macro="" textlink="">
      <xdr:nvSpPr>
        <xdr:cNvPr id="1210" name="TextBox 1209"/>
        <xdr:cNvSpPr txBox="1"/>
      </xdr:nvSpPr>
      <xdr:spPr>
        <a:xfrm>
          <a:off x="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810</xdr:row>
      <xdr:rowOff>0</xdr:rowOff>
    </xdr:from>
    <xdr:to>
      <xdr:col>9</xdr:col>
      <xdr:colOff>114300</xdr:colOff>
      <xdr:row>815</xdr:row>
      <xdr:rowOff>95250</xdr:rowOff>
    </xdr:to>
    <xdr:sp macro="" textlink="">
      <xdr:nvSpPr>
        <xdr:cNvPr id="1211" name="TextBox 1210"/>
        <xdr:cNvSpPr txBox="1"/>
      </xdr:nvSpPr>
      <xdr:spPr>
        <a:xfrm>
          <a:off x="457200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810</xdr:row>
      <xdr:rowOff>0</xdr:rowOff>
    </xdr:from>
    <xdr:to>
      <xdr:col>5</xdr:col>
      <xdr:colOff>304800</xdr:colOff>
      <xdr:row>816</xdr:row>
      <xdr:rowOff>95250</xdr:rowOff>
    </xdr:to>
    <xdr:sp macro="" textlink="">
      <xdr:nvSpPr>
        <xdr:cNvPr id="1212" name="TextBox 1211"/>
        <xdr:cNvSpPr txBox="1"/>
      </xdr:nvSpPr>
      <xdr:spPr>
        <a:xfrm>
          <a:off x="2133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810</xdr:row>
      <xdr:rowOff>0</xdr:rowOff>
    </xdr:from>
    <xdr:to>
      <xdr:col>12</xdr:col>
      <xdr:colOff>304800</xdr:colOff>
      <xdr:row>816</xdr:row>
      <xdr:rowOff>95250</xdr:rowOff>
    </xdr:to>
    <xdr:sp macro="" textlink="">
      <xdr:nvSpPr>
        <xdr:cNvPr id="1213" name="TextBox 1212"/>
        <xdr:cNvSpPr txBox="1"/>
      </xdr:nvSpPr>
      <xdr:spPr>
        <a:xfrm>
          <a:off x="6705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840</xdr:row>
      <xdr:rowOff>0</xdr:rowOff>
    </xdr:from>
    <xdr:to>
      <xdr:col>2</xdr:col>
      <xdr:colOff>114300</xdr:colOff>
      <xdr:row>845</xdr:row>
      <xdr:rowOff>95250</xdr:rowOff>
    </xdr:to>
    <xdr:sp macro="" textlink="">
      <xdr:nvSpPr>
        <xdr:cNvPr id="1214" name="TextBox 1213"/>
        <xdr:cNvSpPr txBox="1"/>
      </xdr:nvSpPr>
      <xdr:spPr>
        <a:xfrm>
          <a:off x="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9</xdr:col>
      <xdr:colOff>114300</xdr:colOff>
      <xdr:row>845</xdr:row>
      <xdr:rowOff>95250</xdr:rowOff>
    </xdr:to>
    <xdr:sp macro="" textlink="">
      <xdr:nvSpPr>
        <xdr:cNvPr id="1215" name="TextBox 1214"/>
        <xdr:cNvSpPr txBox="1"/>
      </xdr:nvSpPr>
      <xdr:spPr>
        <a:xfrm>
          <a:off x="457200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840</xdr:row>
      <xdr:rowOff>0</xdr:rowOff>
    </xdr:from>
    <xdr:to>
      <xdr:col>5</xdr:col>
      <xdr:colOff>304800</xdr:colOff>
      <xdr:row>846</xdr:row>
      <xdr:rowOff>95250</xdr:rowOff>
    </xdr:to>
    <xdr:sp macro="" textlink="">
      <xdr:nvSpPr>
        <xdr:cNvPr id="1216" name="TextBox 1215"/>
        <xdr:cNvSpPr txBox="1"/>
      </xdr:nvSpPr>
      <xdr:spPr>
        <a:xfrm>
          <a:off x="2133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840</xdr:row>
      <xdr:rowOff>0</xdr:rowOff>
    </xdr:from>
    <xdr:to>
      <xdr:col>12</xdr:col>
      <xdr:colOff>304800</xdr:colOff>
      <xdr:row>846</xdr:row>
      <xdr:rowOff>95250</xdr:rowOff>
    </xdr:to>
    <xdr:sp macro="" textlink="">
      <xdr:nvSpPr>
        <xdr:cNvPr id="1217" name="TextBox 1216"/>
        <xdr:cNvSpPr txBox="1"/>
      </xdr:nvSpPr>
      <xdr:spPr>
        <a:xfrm>
          <a:off x="6705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870</xdr:row>
      <xdr:rowOff>0</xdr:rowOff>
    </xdr:from>
    <xdr:to>
      <xdr:col>2</xdr:col>
      <xdr:colOff>114300</xdr:colOff>
      <xdr:row>875</xdr:row>
      <xdr:rowOff>95250</xdr:rowOff>
    </xdr:to>
    <xdr:sp macro="" textlink="">
      <xdr:nvSpPr>
        <xdr:cNvPr id="1218" name="TextBox 1217"/>
        <xdr:cNvSpPr txBox="1"/>
      </xdr:nvSpPr>
      <xdr:spPr>
        <a:xfrm>
          <a:off x="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870</xdr:row>
      <xdr:rowOff>0</xdr:rowOff>
    </xdr:from>
    <xdr:to>
      <xdr:col>9</xdr:col>
      <xdr:colOff>114300</xdr:colOff>
      <xdr:row>875</xdr:row>
      <xdr:rowOff>95250</xdr:rowOff>
    </xdr:to>
    <xdr:sp macro="" textlink="">
      <xdr:nvSpPr>
        <xdr:cNvPr id="1219" name="TextBox 1218"/>
        <xdr:cNvSpPr txBox="1"/>
      </xdr:nvSpPr>
      <xdr:spPr>
        <a:xfrm>
          <a:off x="457200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870</xdr:row>
      <xdr:rowOff>0</xdr:rowOff>
    </xdr:from>
    <xdr:to>
      <xdr:col>5</xdr:col>
      <xdr:colOff>304800</xdr:colOff>
      <xdr:row>876</xdr:row>
      <xdr:rowOff>95250</xdr:rowOff>
    </xdr:to>
    <xdr:sp macro="" textlink="">
      <xdr:nvSpPr>
        <xdr:cNvPr id="1220" name="TextBox 1219"/>
        <xdr:cNvSpPr txBox="1"/>
      </xdr:nvSpPr>
      <xdr:spPr>
        <a:xfrm>
          <a:off x="2133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870</xdr:row>
      <xdr:rowOff>0</xdr:rowOff>
    </xdr:from>
    <xdr:to>
      <xdr:col>12</xdr:col>
      <xdr:colOff>304800</xdr:colOff>
      <xdr:row>876</xdr:row>
      <xdr:rowOff>95250</xdr:rowOff>
    </xdr:to>
    <xdr:sp macro="" textlink="">
      <xdr:nvSpPr>
        <xdr:cNvPr id="1221" name="TextBox 1220"/>
        <xdr:cNvSpPr txBox="1"/>
      </xdr:nvSpPr>
      <xdr:spPr>
        <a:xfrm>
          <a:off x="6705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900</xdr:row>
      <xdr:rowOff>0</xdr:rowOff>
    </xdr:from>
    <xdr:to>
      <xdr:col>2</xdr:col>
      <xdr:colOff>114300</xdr:colOff>
      <xdr:row>905</xdr:row>
      <xdr:rowOff>95250</xdr:rowOff>
    </xdr:to>
    <xdr:sp macro="" textlink="">
      <xdr:nvSpPr>
        <xdr:cNvPr id="1222" name="TextBox 1221"/>
        <xdr:cNvSpPr txBox="1"/>
      </xdr:nvSpPr>
      <xdr:spPr>
        <a:xfrm>
          <a:off x="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900</xdr:row>
      <xdr:rowOff>0</xdr:rowOff>
    </xdr:from>
    <xdr:to>
      <xdr:col>9</xdr:col>
      <xdr:colOff>114300</xdr:colOff>
      <xdr:row>905</xdr:row>
      <xdr:rowOff>95250</xdr:rowOff>
    </xdr:to>
    <xdr:sp macro="" textlink="">
      <xdr:nvSpPr>
        <xdr:cNvPr id="1223" name="TextBox 1222"/>
        <xdr:cNvSpPr txBox="1"/>
      </xdr:nvSpPr>
      <xdr:spPr>
        <a:xfrm>
          <a:off x="457200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900</xdr:row>
      <xdr:rowOff>0</xdr:rowOff>
    </xdr:from>
    <xdr:to>
      <xdr:col>5</xdr:col>
      <xdr:colOff>304800</xdr:colOff>
      <xdr:row>906</xdr:row>
      <xdr:rowOff>95250</xdr:rowOff>
    </xdr:to>
    <xdr:sp macro="" textlink="">
      <xdr:nvSpPr>
        <xdr:cNvPr id="1224" name="TextBox 1223"/>
        <xdr:cNvSpPr txBox="1"/>
      </xdr:nvSpPr>
      <xdr:spPr>
        <a:xfrm>
          <a:off x="2133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900</xdr:row>
      <xdr:rowOff>0</xdr:rowOff>
    </xdr:from>
    <xdr:to>
      <xdr:col>12</xdr:col>
      <xdr:colOff>304800</xdr:colOff>
      <xdr:row>906</xdr:row>
      <xdr:rowOff>95250</xdr:rowOff>
    </xdr:to>
    <xdr:sp macro="" textlink="">
      <xdr:nvSpPr>
        <xdr:cNvPr id="1225" name="TextBox 1224"/>
        <xdr:cNvSpPr txBox="1"/>
      </xdr:nvSpPr>
      <xdr:spPr>
        <a:xfrm>
          <a:off x="6705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930</xdr:row>
      <xdr:rowOff>0</xdr:rowOff>
    </xdr:from>
    <xdr:to>
      <xdr:col>2</xdr:col>
      <xdr:colOff>114300</xdr:colOff>
      <xdr:row>935</xdr:row>
      <xdr:rowOff>95250</xdr:rowOff>
    </xdr:to>
    <xdr:sp macro="" textlink="">
      <xdr:nvSpPr>
        <xdr:cNvPr id="1226" name="TextBox 1225"/>
        <xdr:cNvSpPr txBox="1"/>
      </xdr:nvSpPr>
      <xdr:spPr>
        <a:xfrm>
          <a:off x="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930</xdr:row>
      <xdr:rowOff>0</xdr:rowOff>
    </xdr:from>
    <xdr:to>
      <xdr:col>9</xdr:col>
      <xdr:colOff>114300</xdr:colOff>
      <xdr:row>935</xdr:row>
      <xdr:rowOff>95250</xdr:rowOff>
    </xdr:to>
    <xdr:sp macro="" textlink="">
      <xdr:nvSpPr>
        <xdr:cNvPr id="1227" name="TextBox 1226"/>
        <xdr:cNvSpPr txBox="1"/>
      </xdr:nvSpPr>
      <xdr:spPr>
        <a:xfrm>
          <a:off x="457200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930</xdr:row>
      <xdr:rowOff>0</xdr:rowOff>
    </xdr:from>
    <xdr:to>
      <xdr:col>5</xdr:col>
      <xdr:colOff>304800</xdr:colOff>
      <xdr:row>936</xdr:row>
      <xdr:rowOff>95250</xdr:rowOff>
    </xdr:to>
    <xdr:sp macro="" textlink="">
      <xdr:nvSpPr>
        <xdr:cNvPr id="1228" name="TextBox 1227"/>
        <xdr:cNvSpPr txBox="1"/>
      </xdr:nvSpPr>
      <xdr:spPr>
        <a:xfrm>
          <a:off x="2133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930</xdr:row>
      <xdr:rowOff>0</xdr:rowOff>
    </xdr:from>
    <xdr:to>
      <xdr:col>12</xdr:col>
      <xdr:colOff>304800</xdr:colOff>
      <xdr:row>936</xdr:row>
      <xdr:rowOff>95250</xdr:rowOff>
    </xdr:to>
    <xdr:sp macro="" textlink="">
      <xdr:nvSpPr>
        <xdr:cNvPr id="1229" name="TextBox 1228"/>
        <xdr:cNvSpPr txBox="1"/>
      </xdr:nvSpPr>
      <xdr:spPr>
        <a:xfrm>
          <a:off x="6705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960</xdr:row>
      <xdr:rowOff>0</xdr:rowOff>
    </xdr:from>
    <xdr:to>
      <xdr:col>2</xdr:col>
      <xdr:colOff>114300</xdr:colOff>
      <xdr:row>965</xdr:row>
      <xdr:rowOff>95250</xdr:rowOff>
    </xdr:to>
    <xdr:sp macro="" textlink="">
      <xdr:nvSpPr>
        <xdr:cNvPr id="1230" name="TextBox 1229"/>
        <xdr:cNvSpPr txBox="1"/>
      </xdr:nvSpPr>
      <xdr:spPr>
        <a:xfrm>
          <a:off x="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960</xdr:row>
      <xdr:rowOff>0</xdr:rowOff>
    </xdr:from>
    <xdr:to>
      <xdr:col>9</xdr:col>
      <xdr:colOff>114300</xdr:colOff>
      <xdr:row>965</xdr:row>
      <xdr:rowOff>95250</xdr:rowOff>
    </xdr:to>
    <xdr:sp macro="" textlink="">
      <xdr:nvSpPr>
        <xdr:cNvPr id="1231" name="TextBox 1230"/>
        <xdr:cNvSpPr txBox="1"/>
      </xdr:nvSpPr>
      <xdr:spPr>
        <a:xfrm>
          <a:off x="457200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960</xdr:row>
      <xdr:rowOff>0</xdr:rowOff>
    </xdr:from>
    <xdr:to>
      <xdr:col>5</xdr:col>
      <xdr:colOff>304800</xdr:colOff>
      <xdr:row>966</xdr:row>
      <xdr:rowOff>95250</xdr:rowOff>
    </xdr:to>
    <xdr:sp macro="" textlink="">
      <xdr:nvSpPr>
        <xdr:cNvPr id="1232" name="TextBox 1231"/>
        <xdr:cNvSpPr txBox="1"/>
      </xdr:nvSpPr>
      <xdr:spPr>
        <a:xfrm>
          <a:off x="2133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960</xdr:row>
      <xdr:rowOff>0</xdr:rowOff>
    </xdr:from>
    <xdr:to>
      <xdr:col>12</xdr:col>
      <xdr:colOff>304800</xdr:colOff>
      <xdr:row>966</xdr:row>
      <xdr:rowOff>95250</xdr:rowOff>
    </xdr:to>
    <xdr:sp macro="" textlink="">
      <xdr:nvSpPr>
        <xdr:cNvPr id="1233" name="TextBox 1232"/>
        <xdr:cNvSpPr txBox="1"/>
      </xdr:nvSpPr>
      <xdr:spPr>
        <a:xfrm>
          <a:off x="6705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990</xdr:row>
      <xdr:rowOff>0</xdr:rowOff>
    </xdr:from>
    <xdr:to>
      <xdr:col>2</xdr:col>
      <xdr:colOff>114300</xdr:colOff>
      <xdr:row>995</xdr:row>
      <xdr:rowOff>95250</xdr:rowOff>
    </xdr:to>
    <xdr:sp macro="" textlink="">
      <xdr:nvSpPr>
        <xdr:cNvPr id="1234" name="TextBox 1233"/>
        <xdr:cNvSpPr txBox="1"/>
      </xdr:nvSpPr>
      <xdr:spPr>
        <a:xfrm>
          <a:off x="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990</xdr:row>
      <xdr:rowOff>0</xdr:rowOff>
    </xdr:from>
    <xdr:to>
      <xdr:col>9</xdr:col>
      <xdr:colOff>114300</xdr:colOff>
      <xdr:row>995</xdr:row>
      <xdr:rowOff>95250</xdr:rowOff>
    </xdr:to>
    <xdr:sp macro="" textlink="">
      <xdr:nvSpPr>
        <xdr:cNvPr id="1235" name="TextBox 1234"/>
        <xdr:cNvSpPr txBox="1"/>
      </xdr:nvSpPr>
      <xdr:spPr>
        <a:xfrm>
          <a:off x="457200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990</xdr:row>
      <xdr:rowOff>0</xdr:rowOff>
    </xdr:from>
    <xdr:to>
      <xdr:col>5</xdr:col>
      <xdr:colOff>304800</xdr:colOff>
      <xdr:row>996</xdr:row>
      <xdr:rowOff>95250</xdr:rowOff>
    </xdr:to>
    <xdr:sp macro="" textlink="">
      <xdr:nvSpPr>
        <xdr:cNvPr id="1236" name="TextBox 1235"/>
        <xdr:cNvSpPr txBox="1"/>
      </xdr:nvSpPr>
      <xdr:spPr>
        <a:xfrm>
          <a:off x="2133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990</xdr:row>
      <xdr:rowOff>0</xdr:rowOff>
    </xdr:from>
    <xdr:to>
      <xdr:col>12</xdr:col>
      <xdr:colOff>304800</xdr:colOff>
      <xdr:row>996</xdr:row>
      <xdr:rowOff>95250</xdr:rowOff>
    </xdr:to>
    <xdr:sp macro="" textlink="">
      <xdr:nvSpPr>
        <xdr:cNvPr id="1237" name="TextBox 1236"/>
        <xdr:cNvSpPr txBox="1"/>
      </xdr:nvSpPr>
      <xdr:spPr>
        <a:xfrm>
          <a:off x="6705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1020</xdr:row>
      <xdr:rowOff>0</xdr:rowOff>
    </xdr:from>
    <xdr:to>
      <xdr:col>2</xdr:col>
      <xdr:colOff>114300</xdr:colOff>
      <xdr:row>1025</xdr:row>
      <xdr:rowOff>95250</xdr:rowOff>
    </xdr:to>
    <xdr:sp macro="" textlink="">
      <xdr:nvSpPr>
        <xdr:cNvPr id="1238" name="TextBox 1237"/>
        <xdr:cNvSpPr txBox="1"/>
      </xdr:nvSpPr>
      <xdr:spPr>
        <a:xfrm>
          <a:off x="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1020</xdr:row>
      <xdr:rowOff>0</xdr:rowOff>
    </xdr:from>
    <xdr:to>
      <xdr:col>9</xdr:col>
      <xdr:colOff>114300</xdr:colOff>
      <xdr:row>1025</xdr:row>
      <xdr:rowOff>95250</xdr:rowOff>
    </xdr:to>
    <xdr:sp macro="" textlink="">
      <xdr:nvSpPr>
        <xdr:cNvPr id="1239" name="TextBox 1238"/>
        <xdr:cNvSpPr txBox="1"/>
      </xdr:nvSpPr>
      <xdr:spPr>
        <a:xfrm>
          <a:off x="457200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5</xdr:col>
      <xdr:colOff>304800</xdr:colOff>
      <xdr:row>1026</xdr:row>
      <xdr:rowOff>95250</xdr:rowOff>
    </xdr:to>
    <xdr:sp macro="" textlink="">
      <xdr:nvSpPr>
        <xdr:cNvPr id="1240" name="TextBox 1239"/>
        <xdr:cNvSpPr txBox="1"/>
      </xdr:nvSpPr>
      <xdr:spPr>
        <a:xfrm>
          <a:off x="2133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1020</xdr:row>
      <xdr:rowOff>0</xdr:rowOff>
    </xdr:from>
    <xdr:to>
      <xdr:col>12</xdr:col>
      <xdr:colOff>304800</xdr:colOff>
      <xdr:row>1026</xdr:row>
      <xdr:rowOff>95250</xdr:rowOff>
    </xdr:to>
    <xdr:sp macro="" textlink="">
      <xdr:nvSpPr>
        <xdr:cNvPr id="1241" name="TextBox 1240"/>
        <xdr:cNvSpPr txBox="1"/>
      </xdr:nvSpPr>
      <xdr:spPr>
        <a:xfrm>
          <a:off x="6705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1050</xdr:row>
      <xdr:rowOff>0</xdr:rowOff>
    </xdr:from>
    <xdr:to>
      <xdr:col>2</xdr:col>
      <xdr:colOff>114300</xdr:colOff>
      <xdr:row>1055</xdr:row>
      <xdr:rowOff>95250</xdr:rowOff>
    </xdr:to>
    <xdr:sp macro="" textlink="">
      <xdr:nvSpPr>
        <xdr:cNvPr id="1242" name="TextBox 1241"/>
        <xdr:cNvSpPr txBox="1"/>
      </xdr:nvSpPr>
      <xdr:spPr>
        <a:xfrm>
          <a:off x="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1050</xdr:row>
      <xdr:rowOff>0</xdr:rowOff>
    </xdr:from>
    <xdr:to>
      <xdr:col>9</xdr:col>
      <xdr:colOff>114300</xdr:colOff>
      <xdr:row>1055</xdr:row>
      <xdr:rowOff>95250</xdr:rowOff>
    </xdr:to>
    <xdr:sp macro="" textlink="">
      <xdr:nvSpPr>
        <xdr:cNvPr id="1243" name="TextBox 1242"/>
        <xdr:cNvSpPr txBox="1"/>
      </xdr:nvSpPr>
      <xdr:spPr>
        <a:xfrm>
          <a:off x="457200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1050</xdr:row>
      <xdr:rowOff>0</xdr:rowOff>
    </xdr:from>
    <xdr:to>
      <xdr:col>5</xdr:col>
      <xdr:colOff>304800</xdr:colOff>
      <xdr:row>1056</xdr:row>
      <xdr:rowOff>95250</xdr:rowOff>
    </xdr:to>
    <xdr:sp macro="" textlink="">
      <xdr:nvSpPr>
        <xdr:cNvPr id="1244" name="TextBox 1243"/>
        <xdr:cNvSpPr txBox="1"/>
      </xdr:nvSpPr>
      <xdr:spPr>
        <a:xfrm>
          <a:off x="2133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1050</xdr:row>
      <xdr:rowOff>0</xdr:rowOff>
    </xdr:from>
    <xdr:to>
      <xdr:col>12</xdr:col>
      <xdr:colOff>304800</xdr:colOff>
      <xdr:row>1056</xdr:row>
      <xdr:rowOff>95250</xdr:rowOff>
    </xdr:to>
    <xdr:sp macro="" textlink="">
      <xdr:nvSpPr>
        <xdr:cNvPr id="1245" name="TextBox 1244"/>
        <xdr:cNvSpPr txBox="1"/>
      </xdr:nvSpPr>
      <xdr:spPr>
        <a:xfrm>
          <a:off x="6705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1080</xdr:row>
      <xdr:rowOff>0</xdr:rowOff>
    </xdr:from>
    <xdr:to>
      <xdr:col>2</xdr:col>
      <xdr:colOff>114300</xdr:colOff>
      <xdr:row>1085</xdr:row>
      <xdr:rowOff>95250</xdr:rowOff>
    </xdr:to>
    <xdr:sp macro="" textlink="">
      <xdr:nvSpPr>
        <xdr:cNvPr id="1246" name="TextBox 1245"/>
        <xdr:cNvSpPr txBox="1"/>
      </xdr:nvSpPr>
      <xdr:spPr>
        <a:xfrm>
          <a:off x="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1080</xdr:row>
      <xdr:rowOff>0</xdr:rowOff>
    </xdr:from>
    <xdr:to>
      <xdr:col>9</xdr:col>
      <xdr:colOff>114300</xdr:colOff>
      <xdr:row>1085</xdr:row>
      <xdr:rowOff>95250</xdr:rowOff>
    </xdr:to>
    <xdr:sp macro="" textlink="">
      <xdr:nvSpPr>
        <xdr:cNvPr id="1247" name="TextBox 1246"/>
        <xdr:cNvSpPr txBox="1"/>
      </xdr:nvSpPr>
      <xdr:spPr>
        <a:xfrm>
          <a:off x="457200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1080</xdr:row>
      <xdr:rowOff>0</xdr:rowOff>
    </xdr:from>
    <xdr:to>
      <xdr:col>5</xdr:col>
      <xdr:colOff>304800</xdr:colOff>
      <xdr:row>1086</xdr:row>
      <xdr:rowOff>95250</xdr:rowOff>
    </xdr:to>
    <xdr:sp macro="" textlink="">
      <xdr:nvSpPr>
        <xdr:cNvPr id="1248" name="TextBox 1247"/>
        <xdr:cNvSpPr txBox="1"/>
      </xdr:nvSpPr>
      <xdr:spPr>
        <a:xfrm>
          <a:off x="2133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1080</xdr:row>
      <xdr:rowOff>0</xdr:rowOff>
    </xdr:from>
    <xdr:to>
      <xdr:col>12</xdr:col>
      <xdr:colOff>304800</xdr:colOff>
      <xdr:row>1086</xdr:row>
      <xdr:rowOff>95250</xdr:rowOff>
    </xdr:to>
    <xdr:sp macro="" textlink="">
      <xdr:nvSpPr>
        <xdr:cNvPr id="1249" name="TextBox 1248"/>
        <xdr:cNvSpPr txBox="1"/>
      </xdr:nvSpPr>
      <xdr:spPr>
        <a:xfrm>
          <a:off x="6705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1110</xdr:row>
      <xdr:rowOff>0</xdr:rowOff>
    </xdr:from>
    <xdr:to>
      <xdr:col>2</xdr:col>
      <xdr:colOff>114300</xdr:colOff>
      <xdr:row>1115</xdr:row>
      <xdr:rowOff>95250</xdr:rowOff>
    </xdr:to>
    <xdr:sp macro="" textlink="">
      <xdr:nvSpPr>
        <xdr:cNvPr id="1250" name="TextBox 1249"/>
        <xdr:cNvSpPr txBox="1"/>
      </xdr:nvSpPr>
      <xdr:spPr>
        <a:xfrm>
          <a:off x="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1110</xdr:row>
      <xdr:rowOff>0</xdr:rowOff>
    </xdr:from>
    <xdr:to>
      <xdr:col>9</xdr:col>
      <xdr:colOff>114300</xdr:colOff>
      <xdr:row>1115</xdr:row>
      <xdr:rowOff>95250</xdr:rowOff>
    </xdr:to>
    <xdr:sp macro="" textlink="">
      <xdr:nvSpPr>
        <xdr:cNvPr id="1251" name="TextBox 1250"/>
        <xdr:cNvSpPr txBox="1"/>
      </xdr:nvSpPr>
      <xdr:spPr>
        <a:xfrm>
          <a:off x="457200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1110</xdr:row>
      <xdr:rowOff>0</xdr:rowOff>
    </xdr:from>
    <xdr:to>
      <xdr:col>5</xdr:col>
      <xdr:colOff>304800</xdr:colOff>
      <xdr:row>1116</xdr:row>
      <xdr:rowOff>95250</xdr:rowOff>
    </xdr:to>
    <xdr:sp macro="" textlink="">
      <xdr:nvSpPr>
        <xdr:cNvPr id="1252" name="TextBox 1251"/>
        <xdr:cNvSpPr txBox="1"/>
      </xdr:nvSpPr>
      <xdr:spPr>
        <a:xfrm>
          <a:off x="2133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1110</xdr:row>
      <xdr:rowOff>0</xdr:rowOff>
    </xdr:from>
    <xdr:to>
      <xdr:col>12</xdr:col>
      <xdr:colOff>304800</xdr:colOff>
      <xdr:row>1116</xdr:row>
      <xdr:rowOff>95250</xdr:rowOff>
    </xdr:to>
    <xdr:sp macro="" textlink="">
      <xdr:nvSpPr>
        <xdr:cNvPr id="1253" name="TextBox 1252"/>
        <xdr:cNvSpPr txBox="1"/>
      </xdr:nvSpPr>
      <xdr:spPr>
        <a:xfrm>
          <a:off x="6705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1140</xdr:row>
      <xdr:rowOff>0</xdr:rowOff>
    </xdr:from>
    <xdr:to>
      <xdr:col>2</xdr:col>
      <xdr:colOff>114300</xdr:colOff>
      <xdr:row>1145</xdr:row>
      <xdr:rowOff>95250</xdr:rowOff>
    </xdr:to>
    <xdr:sp macro="" textlink="">
      <xdr:nvSpPr>
        <xdr:cNvPr id="1254" name="TextBox 1253"/>
        <xdr:cNvSpPr txBox="1"/>
      </xdr:nvSpPr>
      <xdr:spPr>
        <a:xfrm>
          <a:off x="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1140</xdr:row>
      <xdr:rowOff>0</xdr:rowOff>
    </xdr:from>
    <xdr:to>
      <xdr:col>9</xdr:col>
      <xdr:colOff>114300</xdr:colOff>
      <xdr:row>1145</xdr:row>
      <xdr:rowOff>95250</xdr:rowOff>
    </xdr:to>
    <xdr:sp macro="" textlink="">
      <xdr:nvSpPr>
        <xdr:cNvPr id="1255" name="TextBox 1254"/>
        <xdr:cNvSpPr txBox="1"/>
      </xdr:nvSpPr>
      <xdr:spPr>
        <a:xfrm>
          <a:off x="457200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1140</xdr:row>
      <xdr:rowOff>0</xdr:rowOff>
    </xdr:from>
    <xdr:to>
      <xdr:col>5</xdr:col>
      <xdr:colOff>304800</xdr:colOff>
      <xdr:row>1146</xdr:row>
      <xdr:rowOff>95250</xdr:rowOff>
    </xdr:to>
    <xdr:sp macro="" textlink="">
      <xdr:nvSpPr>
        <xdr:cNvPr id="1256" name="TextBox 1255"/>
        <xdr:cNvSpPr txBox="1"/>
      </xdr:nvSpPr>
      <xdr:spPr>
        <a:xfrm>
          <a:off x="2133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1140</xdr:row>
      <xdr:rowOff>0</xdr:rowOff>
    </xdr:from>
    <xdr:to>
      <xdr:col>12</xdr:col>
      <xdr:colOff>304800</xdr:colOff>
      <xdr:row>1146</xdr:row>
      <xdr:rowOff>95250</xdr:rowOff>
    </xdr:to>
    <xdr:sp macro="" textlink="">
      <xdr:nvSpPr>
        <xdr:cNvPr id="1257" name="TextBox 1256"/>
        <xdr:cNvSpPr txBox="1"/>
      </xdr:nvSpPr>
      <xdr:spPr>
        <a:xfrm>
          <a:off x="6705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1170</xdr:row>
      <xdr:rowOff>0</xdr:rowOff>
    </xdr:from>
    <xdr:to>
      <xdr:col>2</xdr:col>
      <xdr:colOff>114300</xdr:colOff>
      <xdr:row>1175</xdr:row>
      <xdr:rowOff>95250</xdr:rowOff>
    </xdr:to>
    <xdr:sp macro="" textlink="">
      <xdr:nvSpPr>
        <xdr:cNvPr id="1258" name="TextBox 1257"/>
        <xdr:cNvSpPr txBox="1"/>
      </xdr:nvSpPr>
      <xdr:spPr>
        <a:xfrm>
          <a:off x="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1170</xdr:row>
      <xdr:rowOff>0</xdr:rowOff>
    </xdr:from>
    <xdr:to>
      <xdr:col>9</xdr:col>
      <xdr:colOff>114300</xdr:colOff>
      <xdr:row>1175</xdr:row>
      <xdr:rowOff>95250</xdr:rowOff>
    </xdr:to>
    <xdr:sp macro="" textlink="">
      <xdr:nvSpPr>
        <xdr:cNvPr id="1259" name="TextBox 1258"/>
        <xdr:cNvSpPr txBox="1"/>
      </xdr:nvSpPr>
      <xdr:spPr>
        <a:xfrm>
          <a:off x="457200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1170</xdr:row>
      <xdr:rowOff>0</xdr:rowOff>
    </xdr:from>
    <xdr:to>
      <xdr:col>5</xdr:col>
      <xdr:colOff>304800</xdr:colOff>
      <xdr:row>1176</xdr:row>
      <xdr:rowOff>95250</xdr:rowOff>
    </xdr:to>
    <xdr:sp macro="" textlink="">
      <xdr:nvSpPr>
        <xdr:cNvPr id="1260" name="TextBox 1259"/>
        <xdr:cNvSpPr txBox="1"/>
      </xdr:nvSpPr>
      <xdr:spPr>
        <a:xfrm>
          <a:off x="2133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1170</xdr:row>
      <xdr:rowOff>0</xdr:rowOff>
    </xdr:from>
    <xdr:to>
      <xdr:col>12</xdr:col>
      <xdr:colOff>304800</xdr:colOff>
      <xdr:row>1176</xdr:row>
      <xdr:rowOff>95250</xdr:rowOff>
    </xdr:to>
    <xdr:sp macro="" textlink="">
      <xdr:nvSpPr>
        <xdr:cNvPr id="1261" name="TextBox 1260"/>
        <xdr:cNvSpPr txBox="1"/>
      </xdr:nvSpPr>
      <xdr:spPr>
        <a:xfrm>
          <a:off x="6705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1200</xdr:row>
      <xdr:rowOff>0</xdr:rowOff>
    </xdr:from>
    <xdr:to>
      <xdr:col>2</xdr:col>
      <xdr:colOff>114300</xdr:colOff>
      <xdr:row>1205</xdr:row>
      <xdr:rowOff>95250</xdr:rowOff>
    </xdr:to>
    <xdr:sp macro="" textlink="">
      <xdr:nvSpPr>
        <xdr:cNvPr id="1262" name="TextBox 1261"/>
        <xdr:cNvSpPr txBox="1"/>
      </xdr:nvSpPr>
      <xdr:spPr>
        <a:xfrm>
          <a:off x="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1200</xdr:row>
      <xdr:rowOff>0</xdr:rowOff>
    </xdr:from>
    <xdr:to>
      <xdr:col>9</xdr:col>
      <xdr:colOff>114300</xdr:colOff>
      <xdr:row>1205</xdr:row>
      <xdr:rowOff>95250</xdr:rowOff>
    </xdr:to>
    <xdr:sp macro="" textlink="">
      <xdr:nvSpPr>
        <xdr:cNvPr id="1263" name="TextBox 1262"/>
        <xdr:cNvSpPr txBox="1"/>
      </xdr:nvSpPr>
      <xdr:spPr>
        <a:xfrm>
          <a:off x="457200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1200</xdr:row>
      <xdr:rowOff>0</xdr:rowOff>
    </xdr:from>
    <xdr:to>
      <xdr:col>5</xdr:col>
      <xdr:colOff>304800</xdr:colOff>
      <xdr:row>1206</xdr:row>
      <xdr:rowOff>95250</xdr:rowOff>
    </xdr:to>
    <xdr:sp macro="" textlink="">
      <xdr:nvSpPr>
        <xdr:cNvPr id="1264" name="TextBox 1263"/>
        <xdr:cNvSpPr txBox="1"/>
      </xdr:nvSpPr>
      <xdr:spPr>
        <a:xfrm>
          <a:off x="2133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1200</xdr:row>
      <xdr:rowOff>0</xdr:rowOff>
    </xdr:from>
    <xdr:to>
      <xdr:col>12</xdr:col>
      <xdr:colOff>304800</xdr:colOff>
      <xdr:row>1206</xdr:row>
      <xdr:rowOff>95250</xdr:rowOff>
    </xdr:to>
    <xdr:sp macro="" textlink="">
      <xdr:nvSpPr>
        <xdr:cNvPr id="1265" name="TextBox 1264"/>
        <xdr:cNvSpPr txBox="1"/>
      </xdr:nvSpPr>
      <xdr:spPr>
        <a:xfrm>
          <a:off x="6705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1230</xdr:row>
      <xdr:rowOff>0</xdr:rowOff>
    </xdr:from>
    <xdr:to>
      <xdr:col>2</xdr:col>
      <xdr:colOff>114300</xdr:colOff>
      <xdr:row>1235</xdr:row>
      <xdr:rowOff>95250</xdr:rowOff>
    </xdr:to>
    <xdr:sp macro="" textlink="">
      <xdr:nvSpPr>
        <xdr:cNvPr id="1266" name="TextBox 1265"/>
        <xdr:cNvSpPr txBox="1"/>
      </xdr:nvSpPr>
      <xdr:spPr>
        <a:xfrm>
          <a:off x="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1230</xdr:row>
      <xdr:rowOff>0</xdr:rowOff>
    </xdr:from>
    <xdr:to>
      <xdr:col>9</xdr:col>
      <xdr:colOff>114300</xdr:colOff>
      <xdr:row>1235</xdr:row>
      <xdr:rowOff>95250</xdr:rowOff>
    </xdr:to>
    <xdr:sp macro="" textlink="">
      <xdr:nvSpPr>
        <xdr:cNvPr id="1267" name="TextBox 1266"/>
        <xdr:cNvSpPr txBox="1"/>
      </xdr:nvSpPr>
      <xdr:spPr>
        <a:xfrm>
          <a:off x="457200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1230</xdr:row>
      <xdr:rowOff>0</xdr:rowOff>
    </xdr:from>
    <xdr:to>
      <xdr:col>5</xdr:col>
      <xdr:colOff>304800</xdr:colOff>
      <xdr:row>1236</xdr:row>
      <xdr:rowOff>95250</xdr:rowOff>
    </xdr:to>
    <xdr:sp macro="" textlink="">
      <xdr:nvSpPr>
        <xdr:cNvPr id="1268" name="TextBox 1267"/>
        <xdr:cNvSpPr txBox="1"/>
      </xdr:nvSpPr>
      <xdr:spPr>
        <a:xfrm>
          <a:off x="2133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1230</xdr:row>
      <xdr:rowOff>0</xdr:rowOff>
    </xdr:from>
    <xdr:to>
      <xdr:col>12</xdr:col>
      <xdr:colOff>304800</xdr:colOff>
      <xdr:row>1236</xdr:row>
      <xdr:rowOff>95250</xdr:rowOff>
    </xdr:to>
    <xdr:sp macro="" textlink="">
      <xdr:nvSpPr>
        <xdr:cNvPr id="1269" name="TextBox 1268"/>
        <xdr:cNvSpPr txBox="1"/>
      </xdr:nvSpPr>
      <xdr:spPr>
        <a:xfrm>
          <a:off x="6705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1260</xdr:row>
      <xdr:rowOff>0</xdr:rowOff>
    </xdr:from>
    <xdr:to>
      <xdr:col>2</xdr:col>
      <xdr:colOff>114300</xdr:colOff>
      <xdr:row>1265</xdr:row>
      <xdr:rowOff>95250</xdr:rowOff>
    </xdr:to>
    <xdr:sp macro="" textlink="">
      <xdr:nvSpPr>
        <xdr:cNvPr id="1270" name="TextBox 1269"/>
        <xdr:cNvSpPr txBox="1"/>
      </xdr:nvSpPr>
      <xdr:spPr>
        <a:xfrm>
          <a:off x="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1260</xdr:row>
      <xdr:rowOff>0</xdr:rowOff>
    </xdr:from>
    <xdr:to>
      <xdr:col>9</xdr:col>
      <xdr:colOff>114300</xdr:colOff>
      <xdr:row>1265</xdr:row>
      <xdr:rowOff>95250</xdr:rowOff>
    </xdr:to>
    <xdr:sp macro="" textlink="">
      <xdr:nvSpPr>
        <xdr:cNvPr id="1271" name="TextBox 1270"/>
        <xdr:cNvSpPr txBox="1"/>
      </xdr:nvSpPr>
      <xdr:spPr>
        <a:xfrm>
          <a:off x="457200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1260</xdr:row>
      <xdr:rowOff>0</xdr:rowOff>
    </xdr:from>
    <xdr:to>
      <xdr:col>5</xdr:col>
      <xdr:colOff>304800</xdr:colOff>
      <xdr:row>1266</xdr:row>
      <xdr:rowOff>95250</xdr:rowOff>
    </xdr:to>
    <xdr:sp macro="" textlink="">
      <xdr:nvSpPr>
        <xdr:cNvPr id="1272" name="TextBox 1271"/>
        <xdr:cNvSpPr txBox="1"/>
      </xdr:nvSpPr>
      <xdr:spPr>
        <a:xfrm>
          <a:off x="2133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1260</xdr:row>
      <xdr:rowOff>0</xdr:rowOff>
    </xdr:from>
    <xdr:to>
      <xdr:col>12</xdr:col>
      <xdr:colOff>304800</xdr:colOff>
      <xdr:row>1266</xdr:row>
      <xdr:rowOff>95250</xdr:rowOff>
    </xdr:to>
    <xdr:sp macro="" textlink="">
      <xdr:nvSpPr>
        <xdr:cNvPr id="1273" name="TextBox 1272"/>
        <xdr:cNvSpPr txBox="1"/>
      </xdr:nvSpPr>
      <xdr:spPr>
        <a:xfrm>
          <a:off x="6705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1290</xdr:row>
      <xdr:rowOff>0</xdr:rowOff>
    </xdr:from>
    <xdr:to>
      <xdr:col>2</xdr:col>
      <xdr:colOff>114300</xdr:colOff>
      <xdr:row>1295</xdr:row>
      <xdr:rowOff>95250</xdr:rowOff>
    </xdr:to>
    <xdr:sp macro="" textlink="">
      <xdr:nvSpPr>
        <xdr:cNvPr id="1274" name="TextBox 1273"/>
        <xdr:cNvSpPr txBox="1"/>
      </xdr:nvSpPr>
      <xdr:spPr>
        <a:xfrm>
          <a:off x="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1290</xdr:row>
      <xdr:rowOff>0</xdr:rowOff>
    </xdr:from>
    <xdr:to>
      <xdr:col>9</xdr:col>
      <xdr:colOff>114300</xdr:colOff>
      <xdr:row>1295</xdr:row>
      <xdr:rowOff>95250</xdr:rowOff>
    </xdr:to>
    <xdr:sp macro="" textlink="">
      <xdr:nvSpPr>
        <xdr:cNvPr id="1275" name="TextBox 1274"/>
        <xdr:cNvSpPr txBox="1"/>
      </xdr:nvSpPr>
      <xdr:spPr>
        <a:xfrm>
          <a:off x="457200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1290</xdr:row>
      <xdr:rowOff>0</xdr:rowOff>
    </xdr:from>
    <xdr:to>
      <xdr:col>5</xdr:col>
      <xdr:colOff>304800</xdr:colOff>
      <xdr:row>1296</xdr:row>
      <xdr:rowOff>95250</xdr:rowOff>
    </xdr:to>
    <xdr:sp macro="" textlink="">
      <xdr:nvSpPr>
        <xdr:cNvPr id="1276" name="TextBox 1275"/>
        <xdr:cNvSpPr txBox="1"/>
      </xdr:nvSpPr>
      <xdr:spPr>
        <a:xfrm>
          <a:off x="2133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1290</xdr:row>
      <xdr:rowOff>0</xdr:rowOff>
    </xdr:from>
    <xdr:to>
      <xdr:col>12</xdr:col>
      <xdr:colOff>304800</xdr:colOff>
      <xdr:row>1296</xdr:row>
      <xdr:rowOff>95250</xdr:rowOff>
    </xdr:to>
    <xdr:sp macro="" textlink="">
      <xdr:nvSpPr>
        <xdr:cNvPr id="1277" name="TextBox 1276"/>
        <xdr:cNvSpPr txBox="1"/>
      </xdr:nvSpPr>
      <xdr:spPr>
        <a:xfrm>
          <a:off x="6705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1320</xdr:row>
      <xdr:rowOff>0</xdr:rowOff>
    </xdr:from>
    <xdr:to>
      <xdr:col>2</xdr:col>
      <xdr:colOff>114300</xdr:colOff>
      <xdr:row>1325</xdr:row>
      <xdr:rowOff>95250</xdr:rowOff>
    </xdr:to>
    <xdr:sp macro="" textlink="">
      <xdr:nvSpPr>
        <xdr:cNvPr id="1278" name="TextBox 1277"/>
        <xdr:cNvSpPr txBox="1"/>
      </xdr:nvSpPr>
      <xdr:spPr>
        <a:xfrm>
          <a:off x="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1320</xdr:row>
      <xdr:rowOff>0</xdr:rowOff>
    </xdr:from>
    <xdr:to>
      <xdr:col>9</xdr:col>
      <xdr:colOff>114300</xdr:colOff>
      <xdr:row>1325</xdr:row>
      <xdr:rowOff>95250</xdr:rowOff>
    </xdr:to>
    <xdr:sp macro="" textlink="">
      <xdr:nvSpPr>
        <xdr:cNvPr id="1279" name="TextBox 1278"/>
        <xdr:cNvSpPr txBox="1"/>
      </xdr:nvSpPr>
      <xdr:spPr>
        <a:xfrm>
          <a:off x="457200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1320</xdr:row>
      <xdr:rowOff>0</xdr:rowOff>
    </xdr:from>
    <xdr:to>
      <xdr:col>5</xdr:col>
      <xdr:colOff>304800</xdr:colOff>
      <xdr:row>1326</xdr:row>
      <xdr:rowOff>95250</xdr:rowOff>
    </xdr:to>
    <xdr:sp macro="" textlink="">
      <xdr:nvSpPr>
        <xdr:cNvPr id="1280" name="TextBox 1279"/>
        <xdr:cNvSpPr txBox="1"/>
      </xdr:nvSpPr>
      <xdr:spPr>
        <a:xfrm>
          <a:off x="2133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1320</xdr:row>
      <xdr:rowOff>0</xdr:rowOff>
    </xdr:from>
    <xdr:to>
      <xdr:col>12</xdr:col>
      <xdr:colOff>304800</xdr:colOff>
      <xdr:row>1326</xdr:row>
      <xdr:rowOff>95250</xdr:rowOff>
    </xdr:to>
    <xdr:sp macro="" textlink="">
      <xdr:nvSpPr>
        <xdr:cNvPr id="1281" name="TextBox 1280"/>
        <xdr:cNvSpPr txBox="1"/>
      </xdr:nvSpPr>
      <xdr:spPr>
        <a:xfrm>
          <a:off x="6705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1350</xdr:row>
      <xdr:rowOff>0</xdr:rowOff>
    </xdr:from>
    <xdr:to>
      <xdr:col>2</xdr:col>
      <xdr:colOff>114300</xdr:colOff>
      <xdr:row>1355</xdr:row>
      <xdr:rowOff>95250</xdr:rowOff>
    </xdr:to>
    <xdr:sp macro="" textlink="">
      <xdr:nvSpPr>
        <xdr:cNvPr id="1282" name="TextBox 1281"/>
        <xdr:cNvSpPr txBox="1"/>
      </xdr:nvSpPr>
      <xdr:spPr>
        <a:xfrm>
          <a:off x="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1350</xdr:row>
      <xdr:rowOff>0</xdr:rowOff>
    </xdr:from>
    <xdr:to>
      <xdr:col>9</xdr:col>
      <xdr:colOff>114300</xdr:colOff>
      <xdr:row>1355</xdr:row>
      <xdr:rowOff>95250</xdr:rowOff>
    </xdr:to>
    <xdr:sp macro="" textlink="">
      <xdr:nvSpPr>
        <xdr:cNvPr id="1283" name="TextBox 1282"/>
        <xdr:cNvSpPr txBox="1"/>
      </xdr:nvSpPr>
      <xdr:spPr>
        <a:xfrm>
          <a:off x="457200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1350</xdr:row>
      <xdr:rowOff>0</xdr:rowOff>
    </xdr:from>
    <xdr:to>
      <xdr:col>5</xdr:col>
      <xdr:colOff>304800</xdr:colOff>
      <xdr:row>1356</xdr:row>
      <xdr:rowOff>95250</xdr:rowOff>
    </xdr:to>
    <xdr:sp macro="" textlink="">
      <xdr:nvSpPr>
        <xdr:cNvPr id="1284" name="TextBox 1283"/>
        <xdr:cNvSpPr txBox="1"/>
      </xdr:nvSpPr>
      <xdr:spPr>
        <a:xfrm>
          <a:off x="2133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1350</xdr:row>
      <xdr:rowOff>0</xdr:rowOff>
    </xdr:from>
    <xdr:to>
      <xdr:col>12</xdr:col>
      <xdr:colOff>304800</xdr:colOff>
      <xdr:row>1356</xdr:row>
      <xdr:rowOff>95250</xdr:rowOff>
    </xdr:to>
    <xdr:sp macro="" textlink="">
      <xdr:nvSpPr>
        <xdr:cNvPr id="1285" name="TextBox 1284"/>
        <xdr:cNvSpPr txBox="1"/>
      </xdr:nvSpPr>
      <xdr:spPr>
        <a:xfrm>
          <a:off x="6705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1380</xdr:row>
      <xdr:rowOff>0</xdr:rowOff>
    </xdr:from>
    <xdr:to>
      <xdr:col>2</xdr:col>
      <xdr:colOff>114300</xdr:colOff>
      <xdr:row>1385</xdr:row>
      <xdr:rowOff>95250</xdr:rowOff>
    </xdr:to>
    <xdr:sp macro="" textlink="">
      <xdr:nvSpPr>
        <xdr:cNvPr id="1286" name="TextBox 1285"/>
        <xdr:cNvSpPr txBox="1"/>
      </xdr:nvSpPr>
      <xdr:spPr>
        <a:xfrm>
          <a:off x="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1380</xdr:row>
      <xdr:rowOff>0</xdr:rowOff>
    </xdr:from>
    <xdr:to>
      <xdr:col>9</xdr:col>
      <xdr:colOff>114300</xdr:colOff>
      <xdr:row>1385</xdr:row>
      <xdr:rowOff>95250</xdr:rowOff>
    </xdr:to>
    <xdr:sp macro="" textlink="">
      <xdr:nvSpPr>
        <xdr:cNvPr id="1287" name="TextBox 1286"/>
        <xdr:cNvSpPr txBox="1"/>
      </xdr:nvSpPr>
      <xdr:spPr>
        <a:xfrm>
          <a:off x="457200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1380</xdr:row>
      <xdr:rowOff>0</xdr:rowOff>
    </xdr:from>
    <xdr:to>
      <xdr:col>5</xdr:col>
      <xdr:colOff>304800</xdr:colOff>
      <xdr:row>1386</xdr:row>
      <xdr:rowOff>95250</xdr:rowOff>
    </xdr:to>
    <xdr:sp macro="" textlink="">
      <xdr:nvSpPr>
        <xdr:cNvPr id="1288" name="TextBox 1287"/>
        <xdr:cNvSpPr txBox="1"/>
      </xdr:nvSpPr>
      <xdr:spPr>
        <a:xfrm>
          <a:off x="2133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1380</xdr:row>
      <xdr:rowOff>0</xdr:rowOff>
    </xdr:from>
    <xdr:to>
      <xdr:col>12</xdr:col>
      <xdr:colOff>304800</xdr:colOff>
      <xdr:row>1386</xdr:row>
      <xdr:rowOff>95250</xdr:rowOff>
    </xdr:to>
    <xdr:sp macro="" textlink="">
      <xdr:nvSpPr>
        <xdr:cNvPr id="1289" name="TextBox 1288"/>
        <xdr:cNvSpPr txBox="1"/>
      </xdr:nvSpPr>
      <xdr:spPr>
        <a:xfrm>
          <a:off x="6705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1410</xdr:row>
      <xdr:rowOff>0</xdr:rowOff>
    </xdr:from>
    <xdr:to>
      <xdr:col>2</xdr:col>
      <xdr:colOff>114300</xdr:colOff>
      <xdr:row>1415</xdr:row>
      <xdr:rowOff>95250</xdr:rowOff>
    </xdr:to>
    <xdr:sp macro="" textlink="">
      <xdr:nvSpPr>
        <xdr:cNvPr id="1290" name="TextBox 1289"/>
        <xdr:cNvSpPr txBox="1"/>
      </xdr:nvSpPr>
      <xdr:spPr>
        <a:xfrm>
          <a:off x="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1410</xdr:row>
      <xdr:rowOff>0</xdr:rowOff>
    </xdr:from>
    <xdr:to>
      <xdr:col>9</xdr:col>
      <xdr:colOff>114300</xdr:colOff>
      <xdr:row>1415</xdr:row>
      <xdr:rowOff>95250</xdr:rowOff>
    </xdr:to>
    <xdr:sp macro="" textlink="">
      <xdr:nvSpPr>
        <xdr:cNvPr id="1291" name="TextBox 1290"/>
        <xdr:cNvSpPr txBox="1"/>
      </xdr:nvSpPr>
      <xdr:spPr>
        <a:xfrm>
          <a:off x="457200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1410</xdr:row>
      <xdr:rowOff>0</xdr:rowOff>
    </xdr:from>
    <xdr:to>
      <xdr:col>5</xdr:col>
      <xdr:colOff>304800</xdr:colOff>
      <xdr:row>1416</xdr:row>
      <xdr:rowOff>95250</xdr:rowOff>
    </xdr:to>
    <xdr:sp macro="" textlink="">
      <xdr:nvSpPr>
        <xdr:cNvPr id="1292" name="TextBox 1291"/>
        <xdr:cNvSpPr txBox="1"/>
      </xdr:nvSpPr>
      <xdr:spPr>
        <a:xfrm>
          <a:off x="2133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1410</xdr:row>
      <xdr:rowOff>0</xdr:rowOff>
    </xdr:from>
    <xdr:to>
      <xdr:col>12</xdr:col>
      <xdr:colOff>304800</xdr:colOff>
      <xdr:row>1416</xdr:row>
      <xdr:rowOff>95250</xdr:rowOff>
    </xdr:to>
    <xdr:sp macro="" textlink="">
      <xdr:nvSpPr>
        <xdr:cNvPr id="1293" name="TextBox 1292"/>
        <xdr:cNvSpPr txBox="1"/>
      </xdr:nvSpPr>
      <xdr:spPr>
        <a:xfrm>
          <a:off x="6705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1440</xdr:row>
      <xdr:rowOff>0</xdr:rowOff>
    </xdr:from>
    <xdr:to>
      <xdr:col>2</xdr:col>
      <xdr:colOff>114300</xdr:colOff>
      <xdr:row>1445</xdr:row>
      <xdr:rowOff>95250</xdr:rowOff>
    </xdr:to>
    <xdr:sp macro="" textlink="">
      <xdr:nvSpPr>
        <xdr:cNvPr id="1294" name="TextBox 1293"/>
        <xdr:cNvSpPr txBox="1"/>
      </xdr:nvSpPr>
      <xdr:spPr>
        <a:xfrm>
          <a:off x="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1440</xdr:row>
      <xdr:rowOff>0</xdr:rowOff>
    </xdr:from>
    <xdr:to>
      <xdr:col>9</xdr:col>
      <xdr:colOff>114300</xdr:colOff>
      <xdr:row>1445</xdr:row>
      <xdr:rowOff>95250</xdr:rowOff>
    </xdr:to>
    <xdr:sp macro="" textlink="">
      <xdr:nvSpPr>
        <xdr:cNvPr id="1295" name="TextBox 1294"/>
        <xdr:cNvSpPr txBox="1"/>
      </xdr:nvSpPr>
      <xdr:spPr>
        <a:xfrm>
          <a:off x="457200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1440</xdr:row>
      <xdr:rowOff>0</xdr:rowOff>
    </xdr:from>
    <xdr:to>
      <xdr:col>5</xdr:col>
      <xdr:colOff>304800</xdr:colOff>
      <xdr:row>1446</xdr:row>
      <xdr:rowOff>95250</xdr:rowOff>
    </xdr:to>
    <xdr:sp macro="" textlink="">
      <xdr:nvSpPr>
        <xdr:cNvPr id="1296" name="TextBox 1295"/>
        <xdr:cNvSpPr txBox="1"/>
      </xdr:nvSpPr>
      <xdr:spPr>
        <a:xfrm>
          <a:off x="2133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1440</xdr:row>
      <xdr:rowOff>0</xdr:rowOff>
    </xdr:from>
    <xdr:to>
      <xdr:col>12</xdr:col>
      <xdr:colOff>304800</xdr:colOff>
      <xdr:row>1446</xdr:row>
      <xdr:rowOff>95250</xdr:rowOff>
    </xdr:to>
    <xdr:sp macro="" textlink="">
      <xdr:nvSpPr>
        <xdr:cNvPr id="1297" name="TextBox 1296"/>
        <xdr:cNvSpPr txBox="1"/>
      </xdr:nvSpPr>
      <xdr:spPr>
        <a:xfrm>
          <a:off x="6705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1470</xdr:row>
      <xdr:rowOff>0</xdr:rowOff>
    </xdr:from>
    <xdr:to>
      <xdr:col>2</xdr:col>
      <xdr:colOff>114300</xdr:colOff>
      <xdr:row>1475</xdr:row>
      <xdr:rowOff>95250</xdr:rowOff>
    </xdr:to>
    <xdr:sp macro="" textlink="">
      <xdr:nvSpPr>
        <xdr:cNvPr id="1298" name="TextBox 1297"/>
        <xdr:cNvSpPr txBox="1"/>
      </xdr:nvSpPr>
      <xdr:spPr>
        <a:xfrm>
          <a:off x="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1470</xdr:row>
      <xdr:rowOff>0</xdr:rowOff>
    </xdr:from>
    <xdr:to>
      <xdr:col>9</xdr:col>
      <xdr:colOff>114300</xdr:colOff>
      <xdr:row>1475</xdr:row>
      <xdr:rowOff>95250</xdr:rowOff>
    </xdr:to>
    <xdr:sp macro="" textlink="">
      <xdr:nvSpPr>
        <xdr:cNvPr id="1299" name="TextBox 1298"/>
        <xdr:cNvSpPr txBox="1"/>
      </xdr:nvSpPr>
      <xdr:spPr>
        <a:xfrm>
          <a:off x="457200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1470</xdr:row>
      <xdr:rowOff>0</xdr:rowOff>
    </xdr:from>
    <xdr:to>
      <xdr:col>5</xdr:col>
      <xdr:colOff>304800</xdr:colOff>
      <xdr:row>1476</xdr:row>
      <xdr:rowOff>95250</xdr:rowOff>
    </xdr:to>
    <xdr:sp macro="" textlink="">
      <xdr:nvSpPr>
        <xdr:cNvPr id="1300" name="TextBox 1299"/>
        <xdr:cNvSpPr txBox="1"/>
      </xdr:nvSpPr>
      <xdr:spPr>
        <a:xfrm>
          <a:off x="2133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1470</xdr:row>
      <xdr:rowOff>0</xdr:rowOff>
    </xdr:from>
    <xdr:to>
      <xdr:col>12</xdr:col>
      <xdr:colOff>304800</xdr:colOff>
      <xdr:row>1476</xdr:row>
      <xdr:rowOff>95250</xdr:rowOff>
    </xdr:to>
    <xdr:sp macro="" textlink="">
      <xdr:nvSpPr>
        <xdr:cNvPr id="1301" name="TextBox 1300"/>
        <xdr:cNvSpPr txBox="1"/>
      </xdr:nvSpPr>
      <xdr:spPr>
        <a:xfrm>
          <a:off x="6705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114300</xdr:colOff>
      <xdr:row>5</xdr:row>
      <xdr:rowOff>95250</xdr:rowOff>
    </xdr:to>
    <xdr:sp macro="" textlink="">
      <xdr:nvSpPr>
        <xdr:cNvPr id="1302" name="TextBox 1301"/>
        <xdr:cNvSpPr txBox="1"/>
      </xdr:nvSpPr>
      <xdr:spPr>
        <a:xfrm>
          <a:off x="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9</xdr:col>
      <xdr:colOff>114300</xdr:colOff>
      <xdr:row>5</xdr:row>
      <xdr:rowOff>95250</xdr:rowOff>
    </xdr:to>
    <xdr:sp macro="" textlink="">
      <xdr:nvSpPr>
        <xdr:cNvPr id="1303" name="TextBox 1302"/>
        <xdr:cNvSpPr txBox="1"/>
      </xdr:nvSpPr>
      <xdr:spPr>
        <a:xfrm>
          <a:off x="4572000" y="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5</xdr:col>
      <xdr:colOff>304800</xdr:colOff>
      <xdr:row>6</xdr:row>
      <xdr:rowOff>95250</xdr:rowOff>
    </xdr:to>
    <xdr:sp macro="" textlink="">
      <xdr:nvSpPr>
        <xdr:cNvPr id="1304" name="TextBox 1303"/>
        <xdr:cNvSpPr txBox="1"/>
      </xdr:nvSpPr>
      <xdr:spPr>
        <a:xfrm>
          <a:off x="2133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1305" name="TextBox 1304"/>
        <xdr:cNvSpPr txBox="1"/>
      </xdr:nvSpPr>
      <xdr:spPr>
        <a:xfrm>
          <a:off x="6705600" y="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114300</xdr:colOff>
      <xdr:row>35</xdr:row>
      <xdr:rowOff>95250</xdr:rowOff>
    </xdr:to>
    <xdr:sp macro="" textlink="">
      <xdr:nvSpPr>
        <xdr:cNvPr id="1306" name="TextBox 1305"/>
        <xdr:cNvSpPr txBox="1"/>
      </xdr:nvSpPr>
      <xdr:spPr>
        <a:xfrm>
          <a:off x="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114300</xdr:colOff>
      <xdr:row>35</xdr:row>
      <xdr:rowOff>95250</xdr:rowOff>
    </xdr:to>
    <xdr:sp macro="" textlink="">
      <xdr:nvSpPr>
        <xdr:cNvPr id="1307" name="TextBox 1306"/>
        <xdr:cNvSpPr txBox="1"/>
      </xdr:nvSpPr>
      <xdr:spPr>
        <a:xfrm>
          <a:off x="4572000" y="57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5</xdr:col>
      <xdr:colOff>304800</xdr:colOff>
      <xdr:row>36</xdr:row>
      <xdr:rowOff>95250</xdr:rowOff>
    </xdr:to>
    <xdr:sp macro="" textlink="">
      <xdr:nvSpPr>
        <xdr:cNvPr id="1308" name="TextBox 1307"/>
        <xdr:cNvSpPr txBox="1"/>
      </xdr:nvSpPr>
      <xdr:spPr>
        <a:xfrm>
          <a:off x="2133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304800</xdr:colOff>
      <xdr:row>36</xdr:row>
      <xdr:rowOff>95250</xdr:rowOff>
    </xdr:to>
    <xdr:sp macro="" textlink="">
      <xdr:nvSpPr>
        <xdr:cNvPr id="1309" name="TextBox 1308"/>
        <xdr:cNvSpPr txBox="1"/>
      </xdr:nvSpPr>
      <xdr:spPr>
        <a:xfrm>
          <a:off x="6705600" y="57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114300</xdr:colOff>
      <xdr:row>65</xdr:row>
      <xdr:rowOff>95250</xdr:rowOff>
    </xdr:to>
    <xdr:sp macro="" textlink="">
      <xdr:nvSpPr>
        <xdr:cNvPr id="1310" name="TextBox 1309"/>
        <xdr:cNvSpPr txBox="1"/>
      </xdr:nvSpPr>
      <xdr:spPr>
        <a:xfrm>
          <a:off x="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9</xdr:col>
      <xdr:colOff>114300</xdr:colOff>
      <xdr:row>65</xdr:row>
      <xdr:rowOff>95250</xdr:rowOff>
    </xdr:to>
    <xdr:sp macro="" textlink="">
      <xdr:nvSpPr>
        <xdr:cNvPr id="1311" name="TextBox 1310"/>
        <xdr:cNvSpPr txBox="1"/>
      </xdr:nvSpPr>
      <xdr:spPr>
        <a:xfrm>
          <a:off x="4572000" y="114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5</xdr:col>
      <xdr:colOff>304800</xdr:colOff>
      <xdr:row>66</xdr:row>
      <xdr:rowOff>95250</xdr:rowOff>
    </xdr:to>
    <xdr:sp macro="" textlink="">
      <xdr:nvSpPr>
        <xdr:cNvPr id="1312" name="TextBox 1311"/>
        <xdr:cNvSpPr txBox="1"/>
      </xdr:nvSpPr>
      <xdr:spPr>
        <a:xfrm>
          <a:off x="2133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12</xdr:col>
      <xdr:colOff>304800</xdr:colOff>
      <xdr:row>66</xdr:row>
      <xdr:rowOff>95250</xdr:rowOff>
    </xdr:to>
    <xdr:sp macro="" textlink="">
      <xdr:nvSpPr>
        <xdr:cNvPr id="1313" name="TextBox 1312"/>
        <xdr:cNvSpPr txBox="1"/>
      </xdr:nvSpPr>
      <xdr:spPr>
        <a:xfrm>
          <a:off x="6705600" y="114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2</xdr:col>
      <xdr:colOff>114300</xdr:colOff>
      <xdr:row>95</xdr:row>
      <xdr:rowOff>95250</xdr:rowOff>
    </xdr:to>
    <xdr:sp macro="" textlink="">
      <xdr:nvSpPr>
        <xdr:cNvPr id="1314" name="TextBox 1313"/>
        <xdr:cNvSpPr txBox="1"/>
      </xdr:nvSpPr>
      <xdr:spPr>
        <a:xfrm>
          <a:off x="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9</xdr:col>
      <xdr:colOff>114300</xdr:colOff>
      <xdr:row>95</xdr:row>
      <xdr:rowOff>95250</xdr:rowOff>
    </xdr:to>
    <xdr:sp macro="" textlink="">
      <xdr:nvSpPr>
        <xdr:cNvPr id="1315" name="TextBox 1314"/>
        <xdr:cNvSpPr txBox="1"/>
      </xdr:nvSpPr>
      <xdr:spPr>
        <a:xfrm>
          <a:off x="4572000" y="171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5</xdr:col>
      <xdr:colOff>304800</xdr:colOff>
      <xdr:row>96</xdr:row>
      <xdr:rowOff>95250</xdr:rowOff>
    </xdr:to>
    <xdr:sp macro="" textlink="">
      <xdr:nvSpPr>
        <xdr:cNvPr id="1316" name="TextBox 1315"/>
        <xdr:cNvSpPr txBox="1"/>
      </xdr:nvSpPr>
      <xdr:spPr>
        <a:xfrm>
          <a:off x="2133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12</xdr:col>
      <xdr:colOff>304800</xdr:colOff>
      <xdr:row>96</xdr:row>
      <xdr:rowOff>95250</xdr:rowOff>
    </xdr:to>
    <xdr:sp macro="" textlink="">
      <xdr:nvSpPr>
        <xdr:cNvPr id="1317" name="TextBox 1316"/>
        <xdr:cNvSpPr txBox="1"/>
      </xdr:nvSpPr>
      <xdr:spPr>
        <a:xfrm>
          <a:off x="6705600" y="171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114300</xdr:colOff>
      <xdr:row>125</xdr:row>
      <xdr:rowOff>95250</xdr:rowOff>
    </xdr:to>
    <xdr:sp macro="" textlink="">
      <xdr:nvSpPr>
        <xdr:cNvPr id="1318" name="TextBox 1317"/>
        <xdr:cNvSpPr txBox="1"/>
      </xdr:nvSpPr>
      <xdr:spPr>
        <a:xfrm>
          <a:off x="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9</xdr:col>
      <xdr:colOff>114300</xdr:colOff>
      <xdr:row>125</xdr:row>
      <xdr:rowOff>95250</xdr:rowOff>
    </xdr:to>
    <xdr:sp macro="" textlink="">
      <xdr:nvSpPr>
        <xdr:cNvPr id="1319" name="TextBox 1318"/>
        <xdr:cNvSpPr txBox="1"/>
      </xdr:nvSpPr>
      <xdr:spPr>
        <a:xfrm>
          <a:off x="4572000" y="228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304800</xdr:colOff>
      <xdr:row>126</xdr:row>
      <xdr:rowOff>95250</xdr:rowOff>
    </xdr:to>
    <xdr:sp macro="" textlink="">
      <xdr:nvSpPr>
        <xdr:cNvPr id="1320" name="TextBox 1319"/>
        <xdr:cNvSpPr txBox="1"/>
      </xdr:nvSpPr>
      <xdr:spPr>
        <a:xfrm>
          <a:off x="2133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</xdr:row>
      <xdr:rowOff>0</xdr:rowOff>
    </xdr:from>
    <xdr:to>
      <xdr:col>12</xdr:col>
      <xdr:colOff>304800</xdr:colOff>
      <xdr:row>126</xdr:row>
      <xdr:rowOff>95250</xdr:rowOff>
    </xdr:to>
    <xdr:sp macro="" textlink="">
      <xdr:nvSpPr>
        <xdr:cNvPr id="1321" name="TextBox 1320"/>
        <xdr:cNvSpPr txBox="1"/>
      </xdr:nvSpPr>
      <xdr:spPr>
        <a:xfrm>
          <a:off x="6705600" y="228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150</xdr:row>
      <xdr:rowOff>0</xdr:rowOff>
    </xdr:from>
    <xdr:to>
      <xdr:col>2</xdr:col>
      <xdr:colOff>114300</xdr:colOff>
      <xdr:row>155</xdr:row>
      <xdr:rowOff>95250</xdr:rowOff>
    </xdr:to>
    <xdr:sp macro="" textlink="">
      <xdr:nvSpPr>
        <xdr:cNvPr id="1322" name="TextBox 1321"/>
        <xdr:cNvSpPr txBox="1"/>
      </xdr:nvSpPr>
      <xdr:spPr>
        <a:xfrm>
          <a:off x="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150</xdr:row>
      <xdr:rowOff>0</xdr:rowOff>
    </xdr:from>
    <xdr:to>
      <xdr:col>9</xdr:col>
      <xdr:colOff>114300</xdr:colOff>
      <xdr:row>155</xdr:row>
      <xdr:rowOff>95250</xdr:rowOff>
    </xdr:to>
    <xdr:sp macro="" textlink="">
      <xdr:nvSpPr>
        <xdr:cNvPr id="1323" name="TextBox 1322"/>
        <xdr:cNvSpPr txBox="1"/>
      </xdr:nvSpPr>
      <xdr:spPr>
        <a:xfrm>
          <a:off x="4572000" y="285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5</xdr:col>
      <xdr:colOff>304800</xdr:colOff>
      <xdr:row>156</xdr:row>
      <xdr:rowOff>95250</xdr:rowOff>
    </xdr:to>
    <xdr:sp macro="" textlink="">
      <xdr:nvSpPr>
        <xdr:cNvPr id="1324" name="TextBox 1323"/>
        <xdr:cNvSpPr txBox="1"/>
      </xdr:nvSpPr>
      <xdr:spPr>
        <a:xfrm>
          <a:off x="2133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12</xdr:col>
      <xdr:colOff>304800</xdr:colOff>
      <xdr:row>156</xdr:row>
      <xdr:rowOff>95250</xdr:rowOff>
    </xdr:to>
    <xdr:sp macro="" textlink="">
      <xdr:nvSpPr>
        <xdr:cNvPr id="1325" name="TextBox 1324"/>
        <xdr:cNvSpPr txBox="1"/>
      </xdr:nvSpPr>
      <xdr:spPr>
        <a:xfrm>
          <a:off x="6705600" y="285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180</xdr:row>
      <xdr:rowOff>0</xdr:rowOff>
    </xdr:from>
    <xdr:to>
      <xdr:col>2</xdr:col>
      <xdr:colOff>114300</xdr:colOff>
      <xdr:row>185</xdr:row>
      <xdr:rowOff>95250</xdr:rowOff>
    </xdr:to>
    <xdr:sp macro="" textlink="">
      <xdr:nvSpPr>
        <xdr:cNvPr id="1326" name="TextBox 1325"/>
        <xdr:cNvSpPr txBox="1"/>
      </xdr:nvSpPr>
      <xdr:spPr>
        <a:xfrm>
          <a:off x="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9</xdr:col>
      <xdr:colOff>114300</xdr:colOff>
      <xdr:row>185</xdr:row>
      <xdr:rowOff>95250</xdr:rowOff>
    </xdr:to>
    <xdr:sp macro="" textlink="">
      <xdr:nvSpPr>
        <xdr:cNvPr id="1327" name="TextBox 1326"/>
        <xdr:cNvSpPr txBox="1"/>
      </xdr:nvSpPr>
      <xdr:spPr>
        <a:xfrm>
          <a:off x="4572000" y="342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5</xdr:col>
      <xdr:colOff>304800</xdr:colOff>
      <xdr:row>186</xdr:row>
      <xdr:rowOff>95250</xdr:rowOff>
    </xdr:to>
    <xdr:sp macro="" textlink="">
      <xdr:nvSpPr>
        <xdr:cNvPr id="1328" name="TextBox 1327"/>
        <xdr:cNvSpPr txBox="1"/>
      </xdr:nvSpPr>
      <xdr:spPr>
        <a:xfrm>
          <a:off x="2133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180</xdr:row>
      <xdr:rowOff>0</xdr:rowOff>
    </xdr:from>
    <xdr:to>
      <xdr:col>12</xdr:col>
      <xdr:colOff>304800</xdr:colOff>
      <xdr:row>186</xdr:row>
      <xdr:rowOff>95250</xdr:rowOff>
    </xdr:to>
    <xdr:sp macro="" textlink="">
      <xdr:nvSpPr>
        <xdr:cNvPr id="1329" name="TextBox 1328"/>
        <xdr:cNvSpPr txBox="1"/>
      </xdr:nvSpPr>
      <xdr:spPr>
        <a:xfrm>
          <a:off x="6705600" y="342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210</xdr:row>
      <xdr:rowOff>0</xdr:rowOff>
    </xdr:from>
    <xdr:to>
      <xdr:col>2</xdr:col>
      <xdr:colOff>114300</xdr:colOff>
      <xdr:row>215</xdr:row>
      <xdr:rowOff>95250</xdr:rowOff>
    </xdr:to>
    <xdr:sp macro="" textlink="">
      <xdr:nvSpPr>
        <xdr:cNvPr id="1330" name="TextBox 1329"/>
        <xdr:cNvSpPr txBox="1"/>
      </xdr:nvSpPr>
      <xdr:spPr>
        <a:xfrm>
          <a:off x="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9</xdr:col>
      <xdr:colOff>114300</xdr:colOff>
      <xdr:row>215</xdr:row>
      <xdr:rowOff>95250</xdr:rowOff>
    </xdr:to>
    <xdr:sp macro="" textlink="">
      <xdr:nvSpPr>
        <xdr:cNvPr id="1331" name="TextBox 1330"/>
        <xdr:cNvSpPr txBox="1"/>
      </xdr:nvSpPr>
      <xdr:spPr>
        <a:xfrm>
          <a:off x="4572000" y="400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5</xdr:col>
      <xdr:colOff>304800</xdr:colOff>
      <xdr:row>216</xdr:row>
      <xdr:rowOff>95250</xdr:rowOff>
    </xdr:to>
    <xdr:sp macro="" textlink="">
      <xdr:nvSpPr>
        <xdr:cNvPr id="1332" name="TextBox 1331"/>
        <xdr:cNvSpPr txBox="1"/>
      </xdr:nvSpPr>
      <xdr:spPr>
        <a:xfrm>
          <a:off x="2133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210</xdr:row>
      <xdr:rowOff>0</xdr:rowOff>
    </xdr:from>
    <xdr:to>
      <xdr:col>12</xdr:col>
      <xdr:colOff>304800</xdr:colOff>
      <xdr:row>216</xdr:row>
      <xdr:rowOff>95250</xdr:rowOff>
    </xdr:to>
    <xdr:sp macro="" textlink="">
      <xdr:nvSpPr>
        <xdr:cNvPr id="1333" name="TextBox 1332"/>
        <xdr:cNvSpPr txBox="1"/>
      </xdr:nvSpPr>
      <xdr:spPr>
        <a:xfrm>
          <a:off x="6705600" y="400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240</xdr:row>
      <xdr:rowOff>0</xdr:rowOff>
    </xdr:from>
    <xdr:to>
      <xdr:col>2</xdr:col>
      <xdr:colOff>114300</xdr:colOff>
      <xdr:row>245</xdr:row>
      <xdr:rowOff>95250</xdr:rowOff>
    </xdr:to>
    <xdr:sp macro="" textlink="">
      <xdr:nvSpPr>
        <xdr:cNvPr id="1334" name="TextBox 1333"/>
        <xdr:cNvSpPr txBox="1"/>
      </xdr:nvSpPr>
      <xdr:spPr>
        <a:xfrm>
          <a:off x="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240</xdr:row>
      <xdr:rowOff>0</xdr:rowOff>
    </xdr:from>
    <xdr:to>
      <xdr:col>9</xdr:col>
      <xdr:colOff>114300</xdr:colOff>
      <xdr:row>245</xdr:row>
      <xdr:rowOff>95250</xdr:rowOff>
    </xdr:to>
    <xdr:sp macro="" textlink="">
      <xdr:nvSpPr>
        <xdr:cNvPr id="1335" name="TextBox 1334"/>
        <xdr:cNvSpPr txBox="1"/>
      </xdr:nvSpPr>
      <xdr:spPr>
        <a:xfrm>
          <a:off x="4572000" y="457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5</xdr:col>
      <xdr:colOff>304800</xdr:colOff>
      <xdr:row>246</xdr:row>
      <xdr:rowOff>95250</xdr:rowOff>
    </xdr:to>
    <xdr:sp macro="" textlink="">
      <xdr:nvSpPr>
        <xdr:cNvPr id="1336" name="TextBox 1335"/>
        <xdr:cNvSpPr txBox="1"/>
      </xdr:nvSpPr>
      <xdr:spPr>
        <a:xfrm>
          <a:off x="2133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240</xdr:row>
      <xdr:rowOff>0</xdr:rowOff>
    </xdr:from>
    <xdr:to>
      <xdr:col>12</xdr:col>
      <xdr:colOff>304800</xdr:colOff>
      <xdr:row>246</xdr:row>
      <xdr:rowOff>95250</xdr:rowOff>
    </xdr:to>
    <xdr:sp macro="" textlink="">
      <xdr:nvSpPr>
        <xdr:cNvPr id="1337" name="TextBox 1336"/>
        <xdr:cNvSpPr txBox="1"/>
      </xdr:nvSpPr>
      <xdr:spPr>
        <a:xfrm>
          <a:off x="6705600" y="457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270</xdr:row>
      <xdr:rowOff>0</xdr:rowOff>
    </xdr:from>
    <xdr:to>
      <xdr:col>2</xdr:col>
      <xdr:colOff>114300</xdr:colOff>
      <xdr:row>275</xdr:row>
      <xdr:rowOff>95250</xdr:rowOff>
    </xdr:to>
    <xdr:sp macro="" textlink="">
      <xdr:nvSpPr>
        <xdr:cNvPr id="1338" name="TextBox 1337"/>
        <xdr:cNvSpPr txBox="1"/>
      </xdr:nvSpPr>
      <xdr:spPr>
        <a:xfrm>
          <a:off x="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270</xdr:row>
      <xdr:rowOff>0</xdr:rowOff>
    </xdr:from>
    <xdr:to>
      <xdr:col>9</xdr:col>
      <xdr:colOff>114300</xdr:colOff>
      <xdr:row>275</xdr:row>
      <xdr:rowOff>95250</xdr:rowOff>
    </xdr:to>
    <xdr:sp macro="" textlink="">
      <xdr:nvSpPr>
        <xdr:cNvPr id="1339" name="TextBox 1338"/>
        <xdr:cNvSpPr txBox="1"/>
      </xdr:nvSpPr>
      <xdr:spPr>
        <a:xfrm>
          <a:off x="4572000" y="514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270</xdr:row>
      <xdr:rowOff>0</xdr:rowOff>
    </xdr:from>
    <xdr:to>
      <xdr:col>5</xdr:col>
      <xdr:colOff>304800</xdr:colOff>
      <xdr:row>276</xdr:row>
      <xdr:rowOff>95250</xdr:rowOff>
    </xdr:to>
    <xdr:sp macro="" textlink="">
      <xdr:nvSpPr>
        <xdr:cNvPr id="1340" name="TextBox 1339"/>
        <xdr:cNvSpPr txBox="1"/>
      </xdr:nvSpPr>
      <xdr:spPr>
        <a:xfrm>
          <a:off x="2133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270</xdr:row>
      <xdr:rowOff>0</xdr:rowOff>
    </xdr:from>
    <xdr:to>
      <xdr:col>12</xdr:col>
      <xdr:colOff>304800</xdr:colOff>
      <xdr:row>276</xdr:row>
      <xdr:rowOff>95250</xdr:rowOff>
    </xdr:to>
    <xdr:sp macro="" textlink="">
      <xdr:nvSpPr>
        <xdr:cNvPr id="1341" name="TextBox 1340"/>
        <xdr:cNvSpPr txBox="1"/>
      </xdr:nvSpPr>
      <xdr:spPr>
        <a:xfrm>
          <a:off x="6705600" y="514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300</xdr:row>
      <xdr:rowOff>0</xdr:rowOff>
    </xdr:from>
    <xdr:to>
      <xdr:col>2</xdr:col>
      <xdr:colOff>114300</xdr:colOff>
      <xdr:row>305</xdr:row>
      <xdr:rowOff>95250</xdr:rowOff>
    </xdr:to>
    <xdr:sp macro="" textlink="">
      <xdr:nvSpPr>
        <xdr:cNvPr id="1342" name="TextBox 1341"/>
        <xdr:cNvSpPr txBox="1"/>
      </xdr:nvSpPr>
      <xdr:spPr>
        <a:xfrm>
          <a:off x="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300</xdr:row>
      <xdr:rowOff>0</xdr:rowOff>
    </xdr:from>
    <xdr:to>
      <xdr:col>9</xdr:col>
      <xdr:colOff>114300</xdr:colOff>
      <xdr:row>305</xdr:row>
      <xdr:rowOff>95250</xdr:rowOff>
    </xdr:to>
    <xdr:sp macro="" textlink="">
      <xdr:nvSpPr>
        <xdr:cNvPr id="1343" name="TextBox 1342"/>
        <xdr:cNvSpPr txBox="1"/>
      </xdr:nvSpPr>
      <xdr:spPr>
        <a:xfrm>
          <a:off x="4572000" y="571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5</xdr:col>
      <xdr:colOff>304800</xdr:colOff>
      <xdr:row>306</xdr:row>
      <xdr:rowOff>95250</xdr:rowOff>
    </xdr:to>
    <xdr:sp macro="" textlink="">
      <xdr:nvSpPr>
        <xdr:cNvPr id="1344" name="TextBox 1343"/>
        <xdr:cNvSpPr txBox="1"/>
      </xdr:nvSpPr>
      <xdr:spPr>
        <a:xfrm>
          <a:off x="2133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300</xdr:row>
      <xdr:rowOff>0</xdr:rowOff>
    </xdr:from>
    <xdr:to>
      <xdr:col>12</xdr:col>
      <xdr:colOff>304800</xdr:colOff>
      <xdr:row>306</xdr:row>
      <xdr:rowOff>95250</xdr:rowOff>
    </xdr:to>
    <xdr:sp macro="" textlink="">
      <xdr:nvSpPr>
        <xdr:cNvPr id="1345" name="TextBox 1344"/>
        <xdr:cNvSpPr txBox="1"/>
      </xdr:nvSpPr>
      <xdr:spPr>
        <a:xfrm>
          <a:off x="6705600" y="571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330</xdr:row>
      <xdr:rowOff>0</xdr:rowOff>
    </xdr:from>
    <xdr:to>
      <xdr:col>2</xdr:col>
      <xdr:colOff>114300</xdr:colOff>
      <xdr:row>335</xdr:row>
      <xdr:rowOff>95250</xdr:rowOff>
    </xdr:to>
    <xdr:sp macro="" textlink="">
      <xdr:nvSpPr>
        <xdr:cNvPr id="1346" name="TextBox 1345"/>
        <xdr:cNvSpPr txBox="1"/>
      </xdr:nvSpPr>
      <xdr:spPr>
        <a:xfrm>
          <a:off x="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330</xdr:row>
      <xdr:rowOff>0</xdr:rowOff>
    </xdr:from>
    <xdr:to>
      <xdr:col>9</xdr:col>
      <xdr:colOff>114300</xdr:colOff>
      <xdr:row>335</xdr:row>
      <xdr:rowOff>95250</xdr:rowOff>
    </xdr:to>
    <xdr:sp macro="" textlink="">
      <xdr:nvSpPr>
        <xdr:cNvPr id="1347" name="TextBox 1346"/>
        <xdr:cNvSpPr txBox="1"/>
      </xdr:nvSpPr>
      <xdr:spPr>
        <a:xfrm>
          <a:off x="4572000" y="628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330</xdr:row>
      <xdr:rowOff>0</xdr:rowOff>
    </xdr:from>
    <xdr:to>
      <xdr:col>5</xdr:col>
      <xdr:colOff>304800</xdr:colOff>
      <xdr:row>336</xdr:row>
      <xdr:rowOff>95250</xdr:rowOff>
    </xdr:to>
    <xdr:sp macro="" textlink="">
      <xdr:nvSpPr>
        <xdr:cNvPr id="1348" name="TextBox 1347"/>
        <xdr:cNvSpPr txBox="1"/>
      </xdr:nvSpPr>
      <xdr:spPr>
        <a:xfrm>
          <a:off x="2133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330</xdr:row>
      <xdr:rowOff>0</xdr:rowOff>
    </xdr:from>
    <xdr:to>
      <xdr:col>12</xdr:col>
      <xdr:colOff>304800</xdr:colOff>
      <xdr:row>336</xdr:row>
      <xdr:rowOff>95250</xdr:rowOff>
    </xdr:to>
    <xdr:sp macro="" textlink="">
      <xdr:nvSpPr>
        <xdr:cNvPr id="1349" name="TextBox 1348"/>
        <xdr:cNvSpPr txBox="1"/>
      </xdr:nvSpPr>
      <xdr:spPr>
        <a:xfrm>
          <a:off x="6705600" y="628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360</xdr:row>
      <xdr:rowOff>0</xdr:rowOff>
    </xdr:from>
    <xdr:to>
      <xdr:col>2</xdr:col>
      <xdr:colOff>114300</xdr:colOff>
      <xdr:row>365</xdr:row>
      <xdr:rowOff>95250</xdr:rowOff>
    </xdr:to>
    <xdr:sp macro="" textlink="">
      <xdr:nvSpPr>
        <xdr:cNvPr id="1350" name="TextBox 1349"/>
        <xdr:cNvSpPr txBox="1"/>
      </xdr:nvSpPr>
      <xdr:spPr>
        <a:xfrm>
          <a:off x="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360</xdr:row>
      <xdr:rowOff>0</xdr:rowOff>
    </xdr:from>
    <xdr:to>
      <xdr:col>9</xdr:col>
      <xdr:colOff>114300</xdr:colOff>
      <xdr:row>365</xdr:row>
      <xdr:rowOff>95250</xdr:rowOff>
    </xdr:to>
    <xdr:sp macro="" textlink="">
      <xdr:nvSpPr>
        <xdr:cNvPr id="1351" name="TextBox 1350"/>
        <xdr:cNvSpPr txBox="1"/>
      </xdr:nvSpPr>
      <xdr:spPr>
        <a:xfrm>
          <a:off x="4572000" y="685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360</xdr:row>
      <xdr:rowOff>0</xdr:rowOff>
    </xdr:from>
    <xdr:to>
      <xdr:col>5</xdr:col>
      <xdr:colOff>304800</xdr:colOff>
      <xdr:row>366</xdr:row>
      <xdr:rowOff>95250</xdr:rowOff>
    </xdr:to>
    <xdr:sp macro="" textlink="">
      <xdr:nvSpPr>
        <xdr:cNvPr id="1352" name="TextBox 1351"/>
        <xdr:cNvSpPr txBox="1"/>
      </xdr:nvSpPr>
      <xdr:spPr>
        <a:xfrm>
          <a:off x="2133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360</xdr:row>
      <xdr:rowOff>0</xdr:rowOff>
    </xdr:from>
    <xdr:to>
      <xdr:col>12</xdr:col>
      <xdr:colOff>304800</xdr:colOff>
      <xdr:row>366</xdr:row>
      <xdr:rowOff>95250</xdr:rowOff>
    </xdr:to>
    <xdr:sp macro="" textlink="">
      <xdr:nvSpPr>
        <xdr:cNvPr id="1353" name="TextBox 1352"/>
        <xdr:cNvSpPr txBox="1"/>
      </xdr:nvSpPr>
      <xdr:spPr>
        <a:xfrm>
          <a:off x="6705600" y="685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390</xdr:row>
      <xdr:rowOff>0</xdr:rowOff>
    </xdr:from>
    <xdr:to>
      <xdr:col>2</xdr:col>
      <xdr:colOff>114300</xdr:colOff>
      <xdr:row>395</xdr:row>
      <xdr:rowOff>95250</xdr:rowOff>
    </xdr:to>
    <xdr:sp macro="" textlink="">
      <xdr:nvSpPr>
        <xdr:cNvPr id="1354" name="TextBox 1353"/>
        <xdr:cNvSpPr txBox="1"/>
      </xdr:nvSpPr>
      <xdr:spPr>
        <a:xfrm>
          <a:off x="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390</xdr:row>
      <xdr:rowOff>0</xdr:rowOff>
    </xdr:from>
    <xdr:to>
      <xdr:col>9</xdr:col>
      <xdr:colOff>114300</xdr:colOff>
      <xdr:row>395</xdr:row>
      <xdr:rowOff>95250</xdr:rowOff>
    </xdr:to>
    <xdr:sp macro="" textlink="">
      <xdr:nvSpPr>
        <xdr:cNvPr id="1355" name="TextBox 1354"/>
        <xdr:cNvSpPr txBox="1"/>
      </xdr:nvSpPr>
      <xdr:spPr>
        <a:xfrm>
          <a:off x="4572000" y="742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390</xdr:row>
      <xdr:rowOff>0</xdr:rowOff>
    </xdr:from>
    <xdr:to>
      <xdr:col>5</xdr:col>
      <xdr:colOff>304800</xdr:colOff>
      <xdr:row>396</xdr:row>
      <xdr:rowOff>95250</xdr:rowOff>
    </xdr:to>
    <xdr:sp macro="" textlink="">
      <xdr:nvSpPr>
        <xdr:cNvPr id="1356" name="TextBox 1355"/>
        <xdr:cNvSpPr txBox="1"/>
      </xdr:nvSpPr>
      <xdr:spPr>
        <a:xfrm>
          <a:off x="2133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390</xdr:row>
      <xdr:rowOff>0</xdr:rowOff>
    </xdr:from>
    <xdr:to>
      <xdr:col>12</xdr:col>
      <xdr:colOff>304800</xdr:colOff>
      <xdr:row>396</xdr:row>
      <xdr:rowOff>95250</xdr:rowOff>
    </xdr:to>
    <xdr:sp macro="" textlink="">
      <xdr:nvSpPr>
        <xdr:cNvPr id="1357" name="TextBox 1356"/>
        <xdr:cNvSpPr txBox="1"/>
      </xdr:nvSpPr>
      <xdr:spPr>
        <a:xfrm>
          <a:off x="6705600" y="742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420</xdr:row>
      <xdr:rowOff>0</xdr:rowOff>
    </xdr:from>
    <xdr:to>
      <xdr:col>2</xdr:col>
      <xdr:colOff>114300</xdr:colOff>
      <xdr:row>425</xdr:row>
      <xdr:rowOff>95250</xdr:rowOff>
    </xdr:to>
    <xdr:sp macro="" textlink="">
      <xdr:nvSpPr>
        <xdr:cNvPr id="1358" name="TextBox 1357"/>
        <xdr:cNvSpPr txBox="1"/>
      </xdr:nvSpPr>
      <xdr:spPr>
        <a:xfrm>
          <a:off x="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420</xdr:row>
      <xdr:rowOff>0</xdr:rowOff>
    </xdr:from>
    <xdr:to>
      <xdr:col>9</xdr:col>
      <xdr:colOff>114300</xdr:colOff>
      <xdr:row>425</xdr:row>
      <xdr:rowOff>95250</xdr:rowOff>
    </xdr:to>
    <xdr:sp macro="" textlink="">
      <xdr:nvSpPr>
        <xdr:cNvPr id="1359" name="TextBox 1358"/>
        <xdr:cNvSpPr txBox="1"/>
      </xdr:nvSpPr>
      <xdr:spPr>
        <a:xfrm>
          <a:off x="4572000" y="800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420</xdr:row>
      <xdr:rowOff>0</xdr:rowOff>
    </xdr:from>
    <xdr:to>
      <xdr:col>5</xdr:col>
      <xdr:colOff>304800</xdr:colOff>
      <xdr:row>426</xdr:row>
      <xdr:rowOff>95250</xdr:rowOff>
    </xdr:to>
    <xdr:sp macro="" textlink="">
      <xdr:nvSpPr>
        <xdr:cNvPr id="1360" name="TextBox 1359"/>
        <xdr:cNvSpPr txBox="1"/>
      </xdr:nvSpPr>
      <xdr:spPr>
        <a:xfrm>
          <a:off x="2133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420</xdr:row>
      <xdr:rowOff>0</xdr:rowOff>
    </xdr:from>
    <xdr:to>
      <xdr:col>12</xdr:col>
      <xdr:colOff>304800</xdr:colOff>
      <xdr:row>426</xdr:row>
      <xdr:rowOff>95250</xdr:rowOff>
    </xdr:to>
    <xdr:sp macro="" textlink="">
      <xdr:nvSpPr>
        <xdr:cNvPr id="1361" name="TextBox 1360"/>
        <xdr:cNvSpPr txBox="1"/>
      </xdr:nvSpPr>
      <xdr:spPr>
        <a:xfrm>
          <a:off x="6705600" y="800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450</xdr:row>
      <xdr:rowOff>0</xdr:rowOff>
    </xdr:from>
    <xdr:to>
      <xdr:col>2</xdr:col>
      <xdr:colOff>114300</xdr:colOff>
      <xdr:row>455</xdr:row>
      <xdr:rowOff>95250</xdr:rowOff>
    </xdr:to>
    <xdr:sp macro="" textlink="">
      <xdr:nvSpPr>
        <xdr:cNvPr id="1362" name="TextBox 1361"/>
        <xdr:cNvSpPr txBox="1"/>
      </xdr:nvSpPr>
      <xdr:spPr>
        <a:xfrm>
          <a:off x="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9</xdr:col>
      <xdr:colOff>114300</xdr:colOff>
      <xdr:row>455</xdr:row>
      <xdr:rowOff>95250</xdr:rowOff>
    </xdr:to>
    <xdr:sp macro="" textlink="">
      <xdr:nvSpPr>
        <xdr:cNvPr id="1363" name="TextBox 1362"/>
        <xdr:cNvSpPr txBox="1"/>
      </xdr:nvSpPr>
      <xdr:spPr>
        <a:xfrm>
          <a:off x="4572000" y="857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450</xdr:row>
      <xdr:rowOff>0</xdr:rowOff>
    </xdr:from>
    <xdr:to>
      <xdr:col>5</xdr:col>
      <xdr:colOff>304800</xdr:colOff>
      <xdr:row>456</xdr:row>
      <xdr:rowOff>95250</xdr:rowOff>
    </xdr:to>
    <xdr:sp macro="" textlink="">
      <xdr:nvSpPr>
        <xdr:cNvPr id="1364" name="TextBox 1363"/>
        <xdr:cNvSpPr txBox="1"/>
      </xdr:nvSpPr>
      <xdr:spPr>
        <a:xfrm>
          <a:off x="2133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450</xdr:row>
      <xdr:rowOff>0</xdr:rowOff>
    </xdr:from>
    <xdr:to>
      <xdr:col>12</xdr:col>
      <xdr:colOff>304800</xdr:colOff>
      <xdr:row>456</xdr:row>
      <xdr:rowOff>95250</xdr:rowOff>
    </xdr:to>
    <xdr:sp macro="" textlink="">
      <xdr:nvSpPr>
        <xdr:cNvPr id="1365" name="TextBox 1364"/>
        <xdr:cNvSpPr txBox="1"/>
      </xdr:nvSpPr>
      <xdr:spPr>
        <a:xfrm>
          <a:off x="6705600" y="857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480</xdr:row>
      <xdr:rowOff>0</xdr:rowOff>
    </xdr:from>
    <xdr:to>
      <xdr:col>2</xdr:col>
      <xdr:colOff>114300</xdr:colOff>
      <xdr:row>485</xdr:row>
      <xdr:rowOff>95250</xdr:rowOff>
    </xdr:to>
    <xdr:sp macro="" textlink="">
      <xdr:nvSpPr>
        <xdr:cNvPr id="1366" name="TextBox 1365"/>
        <xdr:cNvSpPr txBox="1"/>
      </xdr:nvSpPr>
      <xdr:spPr>
        <a:xfrm>
          <a:off x="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480</xdr:row>
      <xdr:rowOff>0</xdr:rowOff>
    </xdr:from>
    <xdr:to>
      <xdr:col>9</xdr:col>
      <xdr:colOff>114300</xdr:colOff>
      <xdr:row>485</xdr:row>
      <xdr:rowOff>95250</xdr:rowOff>
    </xdr:to>
    <xdr:sp macro="" textlink="">
      <xdr:nvSpPr>
        <xdr:cNvPr id="1367" name="TextBox 1366"/>
        <xdr:cNvSpPr txBox="1"/>
      </xdr:nvSpPr>
      <xdr:spPr>
        <a:xfrm>
          <a:off x="4572000" y="914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480</xdr:row>
      <xdr:rowOff>0</xdr:rowOff>
    </xdr:from>
    <xdr:to>
      <xdr:col>5</xdr:col>
      <xdr:colOff>304800</xdr:colOff>
      <xdr:row>486</xdr:row>
      <xdr:rowOff>95250</xdr:rowOff>
    </xdr:to>
    <xdr:sp macro="" textlink="">
      <xdr:nvSpPr>
        <xdr:cNvPr id="1368" name="TextBox 1367"/>
        <xdr:cNvSpPr txBox="1"/>
      </xdr:nvSpPr>
      <xdr:spPr>
        <a:xfrm>
          <a:off x="2133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480</xdr:row>
      <xdr:rowOff>0</xdr:rowOff>
    </xdr:from>
    <xdr:to>
      <xdr:col>12</xdr:col>
      <xdr:colOff>304800</xdr:colOff>
      <xdr:row>486</xdr:row>
      <xdr:rowOff>95250</xdr:rowOff>
    </xdr:to>
    <xdr:sp macro="" textlink="">
      <xdr:nvSpPr>
        <xdr:cNvPr id="1369" name="TextBox 1368"/>
        <xdr:cNvSpPr txBox="1"/>
      </xdr:nvSpPr>
      <xdr:spPr>
        <a:xfrm>
          <a:off x="6705600" y="914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510</xdr:row>
      <xdr:rowOff>0</xdr:rowOff>
    </xdr:from>
    <xdr:to>
      <xdr:col>2</xdr:col>
      <xdr:colOff>114300</xdr:colOff>
      <xdr:row>515</xdr:row>
      <xdr:rowOff>95250</xdr:rowOff>
    </xdr:to>
    <xdr:sp macro="" textlink="">
      <xdr:nvSpPr>
        <xdr:cNvPr id="1370" name="TextBox 1369"/>
        <xdr:cNvSpPr txBox="1"/>
      </xdr:nvSpPr>
      <xdr:spPr>
        <a:xfrm>
          <a:off x="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510</xdr:row>
      <xdr:rowOff>0</xdr:rowOff>
    </xdr:from>
    <xdr:to>
      <xdr:col>9</xdr:col>
      <xdr:colOff>114300</xdr:colOff>
      <xdr:row>515</xdr:row>
      <xdr:rowOff>95250</xdr:rowOff>
    </xdr:to>
    <xdr:sp macro="" textlink="">
      <xdr:nvSpPr>
        <xdr:cNvPr id="1371" name="TextBox 1370"/>
        <xdr:cNvSpPr txBox="1"/>
      </xdr:nvSpPr>
      <xdr:spPr>
        <a:xfrm>
          <a:off x="4572000" y="971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510</xdr:row>
      <xdr:rowOff>0</xdr:rowOff>
    </xdr:from>
    <xdr:to>
      <xdr:col>5</xdr:col>
      <xdr:colOff>304800</xdr:colOff>
      <xdr:row>516</xdr:row>
      <xdr:rowOff>95250</xdr:rowOff>
    </xdr:to>
    <xdr:sp macro="" textlink="">
      <xdr:nvSpPr>
        <xdr:cNvPr id="1372" name="TextBox 1371"/>
        <xdr:cNvSpPr txBox="1"/>
      </xdr:nvSpPr>
      <xdr:spPr>
        <a:xfrm>
          <a:off x="2133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510</xdr:row>
      <xdr:rowOff>0</xdr:rowOff>
    </xdr:from>
    <xdr:to>
      <xdr:col>12</xdr:col>
      <xdr:colOff>304800</xdr:colOff>
      <xdr:row>516</xdr:row>
      <xdr:rowOff>95250</xdr:rowOff>
    </xdr:to>
    <xdr:sp macro="" textlink="">
      <xdr:nvSpPr>
        <xdr:cNvPr id="1373" name="TextBox 1372"/>
        <xdr:cNvSpPr txBox="1"/>
      </xdr:nvSpPr>
      <xdr:spPr>
        <a:xfrm>
          <a:off x="6705600" y="971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540</xdr:row>
      <xdr:rowOff>0</xdr:rowOff>
    </xdr:from>
    <xdr:to>
      <xdr:col>2</xdr:col>
      <xdr:colOff>114300</xdr:colOff>
      <xdr:row>545</xdr:row>
      <xdr:rowOff>95250</xdr:rowOff>
    </xdr:to>
    <xdr:sp macro="" textlink="">
      <xdr:nvSpPr>
        <xdr:cNvPr id="1374" name="TextBox 1373"/>
        <xdr:cNvSpPr txBox="1"/>
      </xdr:nvSpPr>
      <xdr:spPr>
        <a:xfrm>
          <a:off x="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540</xdr:row>
      <xdr:rowOff>0</xdr:rowOff>
    </xdr:from>
    <xdr:to>
      <xdr:col>9</xdr:col>
      <xdr:colOff>114300</xdr:colOff>
      <xdr:row>545</xdr:row>
      <xdr:rowOff>95250</xdr:rowOff>
    </xdr:to>
    <xdr:sp macro="" textlink="">
      <xdr:nvSpPr>
        <xdr:cNvPr id="1375" name="TextBox 1374"/>
        <xdr:cNvSpPr txBox="1"/>
      </xdr:nvSpPr>
      <xdr:spPr>
        <a:xfrm>
          <a:off x="4572000" y="1028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540</xdr:row>
      <xdr:rowOff>0</xdr:rowOff>
    </xdr:from>
    <xdr:to>
      <xdr:col>5</xdr:col>
      <xdr:colOff>304800</xdr:colOff>
      <xdr:row>546</xdr:row>
      <xdr:rowOff>95250</xdr:rowOff>
    </xdr:to>
    <xdr:sp macro="" textlink="">
      <xdr:nvSpPr>
        <xdr:cNvPr id="1376" name="TextBox 1375"/>
        <xdr:cNvSpPr txBox="1"/>
      </xdr:nvSpPr>
      <xdr:spPr>
        <a:xfrm>
          <a:off x="2133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540</xdr:row>
      <xdr:rowOff>0</xdr:rowOff>
    </xdr:from>
    <xdr:to>
      <xdr:col>12</xdr:col>
      <xdr:colOff>304800</xdr:colOff>
      <xdr:row>546</xdr:row>
      <xdr:rowOff>95250</xdr:rowOff>
    </xdr:to>
    <xdr:sp macro="" textlink="">
      <xdr:nvSpPr>
        <xdr:cNvPr id="1377" name="TextBox 1376"/>
        <xdr:cNvSpPr txBox="1"/>
      </xdr:nvSpPr>
      <xdr:spPr>
        <a:xfrm>
          <a:off x="6705600" y="1028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570</xdr:row>
      <xdr:rowOff>0</xdr:rowOff>
    </xdr:from>
    <xdr:to>
      <xdr:col>2</xdr:col>
      <xdr:colOff>114300</xdr:colOff>
      <xdr:row>575</xdr:row>
      <xdr:rowOff>95250</xdr:rowOff>
    </xdr:to>
    <xdr:sp macro="" textlink="">
      <xdr:nvSpPr>
        <xdr:cNvPr id="1378" name="TextBox 1377"/>
        <xdr:cNvSpPr txBox="1"/>
      </xdr:nvSpPr>
      <xdr:spPr>
        <a:xfrm>
          <a:off x="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570</xdr:row>
      <xdr:rowOff>0</xdr:rowOff>
    </xdr:from>
    <xdr:to>
      <xdr:col>9</xdr:col>
      <xdr:colOff>114300</xdr:colOff>
      <xdr:row>575</xdr:row>
      <xdr:rowOff>95250</xdr:rowOff>
    </xdr:to>
    <xdr:sp macro="" textlink="">
      <xdr:nvSpPr>
        <xdr:cNvPr id="1379" name="TextBox 1378"/>
        <xdr:cNvSpPr txBox="1"/>
      </xdr:nvSpPr>
      <xdr:spPr>
        <a:xfrm>
          <a:off x="4572000" y="1085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570</xdr:row>
      <xdr:rowOff>0</xdr:rowOff>
    </xdr:from>
    <xdr:to>
      <xdr:col>5</xdr:col>
      <xdr:colOff>304800</xdr:colOff>
      <xdr:row>576</xdr:row>
      <xdr:rowOff>95250</xdr:rowOff>
    </xdr:to>
    <xdr:sp macro="" textlink="">
      <xdr:nvSpPr>
        <xdr:cNvPr id="1380" name="TextBox 1379"/>
        <xdr:cNvSpPr txBox="1"/>
      </xdr:nvSpPr>
      <xdr:spPr>
        <a:xfrm>
          <a:off x="2133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570</xdr:row>
      <xdr:rowOff>0</xdr:rowOff>
    </xdr:from>
    <xdr:to>
      <xdr:col>12</xdr:col>
      <xdr:colOff>304800</xdr:colOff>
      <xdr:row>576</xdr:row>
      <xdr:rowOff>95250</xdr:rowOff>
    </xdr:to>
    <xdr:sp macro="" textlink="">
      <xdr:nvSpPr>
        <xdr:cNvPr id="1381" name="TextBox 1380"/>
        <xdr:cNvSpPr txBox="1"/>
      </xdr:nvSpPr>
      <xdr:spPr>
        <a:xfrm>
          <a:off x="6705600" y="1085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2</xdr:col>
      <xdr:colOff>114300</xdr:colOff>
      <xdr:row>605</xdr:row>
      <xdr:rowOff>95250</xdr:rowOff>
    </xdr:to>
    <xdr:sp macro="" textlink="">
      <xdr:nvSpPr>
        <xdr:cNvPr id="1382" name="TextBox 1381"/>
        <xdr:cNvSpPr txBox="1"/>
      </xdr:nvSpPr>
      <xdr:spPr>
        <a:xfrm>
          <a:off x="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600</xdr:row>
      <xdr:rowOff>0</xdr:rowOff>
    </xdr:from>
    <xdr:to>
      <xdr:col>9</xdr:col>
      <xdr:colOff>114300</xdr:colOff>
      <xdr:row>605</xdr:row>
      <xdr:rowOff>95250</xdr:rowOff>
    </xdr:to>
    <xdr:sp macro="" textlink="">
      <xdr:nvSpPr>
        <xdr:cNvPr id="1383" name="TextBox 1382"/>
        <xdr:cNvSpPr txBox="1"/>
      </xdr:nvSpPr>
      <xdr:spPr>
        <a:xfrm>
          <a:off x="4572000" y="1143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600</xdr:row>
      <xdr:rowOff>0</xdr:rowOff>
    </xdr:from>
    <xdr:to>
      <xdr:col>5</xdr:col>
      <xdr:colOff>304800</xdr:colOff>
      <xdr:row>606</xdr:row>
      <xdr:rowOff>95250</xdr:rowOff>
    </xdr:to>
    <xdr:sp macro="" textlink="">
      <xdr:nvSpPr>
        <xdr:cNvPr id="1384" name="TextBox 1383"/>
        <xdr:cNvSpPr txBox="1"/>
      </xdr:nvSpPr>
      <xdr:spPr>
        <a:xfrm>
          <a:off x="2133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600</xdr:row>
      <xdr:rowOff>0</xdr:rowOff>
    </xdr:from>
    <xdr:to>
      <xdr:col>12</xdr:col>
      <xdr:colOff>304800</xdr:colOff>
      <xdr:row>606</xdr:row>
      <xdr:rowOff>95250</xdr:rowOff>
    </xdr:to>
    <xdr:sp macro="" textlink="">
      <xdr:nvSpPr>
        <xdr:cNvPr id="1385" name="TextBox 1384"/>
        <xdr:cNvSpPr txBox="1"/>
      </xdr:nvSpPr>
      <xdr:spPr>
        <a:xfrm>
          <a:off x="6705600" y="1143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630</xdr:row>
      <xdr:rowOff>0</xdr:rowOff>
    </xdr:from>
    <xdr:to>
      <xdr:col>2</xdr:col>
      <xdr:colOff>114300</xdr:colOff>
      <xdr:row>635</xdr:row>
      <xdr:rowOff>95250</xdr:rowOff>
    </xdr:to>
    <xdr:sp macro="" textlink="">
      <xdr:nvSpPr>
        <xdr:cNvPr id="1386" name="TextBox 1385"/>
        <xdr:cNvSpPr txBox="1"/>
      </xdr:nvSpPr>
      <xdr:spPr>
        <a:xfrm>
          <a:off x="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630</xdr:row>
      <xdr:rowOff>0</xdr:rowOff>
    </xdr:from>
    <xdr:to>
      <xdr:col>9</xdr:col>
      <xdr:colOff>114300</xdr:colOff>
      <xdr:row>635</xdr:row>
      <xdr:rowOff>95250</xdr:rowOff>
    </xdr:to>
    <xdr:sp macro="" textlink="">
      <xdr:nvSpPr>
        <xdr:cNvPr id="1387" name="TextBox 1386"/>
        <xdr:cNvSpPr txBox="1"/>
      </xdr:nvSpPr>
      <xdr:spPr>
        <a:xfrm>
          <a:off x="4572000" y="1200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630</xdr:row>
      <xdr:rowOff>0</xdr:rowOff>
    </xdr:from>
    <xdr:to>
      <xdr:col>5</xdr:col>
      <xdr:colOff>304800</xdr:colOff>
      <xdr:row>636</xdr:row>
      <xdr:rowOff>95250</xdr:rowOff>
    </xdr:to>
    <xdr:sp macro="" textlink="">
      <xdr:nvSpPr>
        <xdr:cNvPr id="1388" name="TextBox 1387"/>
        <xdr:cNvSpPr txBox="1"/>
      </xdr:nvSpPr>
      <xdr:spPr>
        <a:xfrm>
          <a:off x="2133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630</xdr:row>
      <xdr:rowOff>0</xdr:rowOff>
    </xdr:from>
    <xdr:to>
      <xdr:col>12</xdr:col>
      <xdr:colOff>304800</xdr:colOff>
      <xdr:row>636</xdr:row>
      <xdr:rowOff>95250</xdr:rowOff>
    </xdr:to>
    <xdr:sp macro="" textlink="">
      <xdr:nvSpPr>
        <xdr:cNvPr id="1389" name="TextBox 1388"/>
        <xdr:cNvSpPr txBox="1"/>
      </xdr:nvSpPr>
      <xdr:spPr>
        <a:xfrm>
          <a:off x="6705600" y="1200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660</xdr:row>
      <xdr:rowOff>0</xdr:rowOff>
    </xdr:from>
    <xdr:to>
      <xdr:col>2</xdr:col>
      <xdr:colOff>114300</xdr:colOff>
      <xdr:row>665</xdr:row>
      <xdr:rowOff>95250</xdr:rowOff>
    </xdr:to>
    <xdr:sp macro="" textlink="">
      <xdr:nvSpPr>
        <xdr:cNvPr id="1390" name="TextBox 1389"/>
        <xdr:cNvSpPr txBox="1"/>
      </xdr:nvSpPr>
      <xdr:spPr>
        <a:xfrm>
          <a:off x="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660</xdr:row>
      <xdr:rowOff>0</xdr:rowOff>
    </xdr:from>
    <xdr:to>
      <xdr:col>9</xdr:col>
      <xdr:colOff>114300</xdr:colOff>
      <xdr:row>665</xdr:row>
      <xdr:rowOff>95250</xdr:rowOff>
    </xdr:to>
    <xdr:sp macro="" textlink="">
      <xdr:nvSpPr>
        <xdr:cNvPr id="1391" name="TextBox 1390"/>
        <xdr:cNvSpPr txBox="1"/>
      </xdr:nvSpPr>
      <xdr:spPr>
        <a:xfrm>
          <a:off x="4572000" y="1257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660</xdr:row>
      <xdr:rowOff>0</xdr:rowOff>
    </xdr:from>
    <xdr:to>
      <xdr:col>5</xdr:col>
      <xdr:colOff>304800</xdr:colOff>
      <xdr:row>666</xdr:row>
      <xdr:rowOff>95250</xdr:rowOff>
    </xdr:to>
    <xdr:sp macro="" textlink="">
      <xdr:nvSpPr>
        <xdr:cNvPr id="1392" name="TextBox 1391"/>
        <xdr:cNvSpPr txBox="1"/>
      </xdr:nvSpPr>
      <xdr:spPr>
        <a:xfrm>
          <a:off x="2133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660</xdr:row>
      <xdr:rowOff>0</xdr:rowOff>
    </xdr:from>
    <xdr:to>
      <xdr:col>12</xdr:col>
      <xdr:colOff>304800</xdr:colOff>
      <xdr:row>666</xdr:row>
      <xdr:rowOff>95250</xdr:rowOff>
    </xdr:to>
    <xdr:sp macro="" textlink="">
      <xdr:nvSpPr>
        <xdr:cNvPr id="1393" name="TextBox 1392"/>
        <xdr:cNvSpPr txBox="1"/>
      </xdr:nvSpPr>
      <xdr:spPr>
        <a:xfrm>
          <a:off x="6705600" y="1257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690</xdr:row>
      <xdr:rowOff>0</xdr:rowOff>
    </xdr:from>
    <xdr:to>
      <xdr:col>2</xdr:col>
      <xdr:colOff>114300</xdr:colOff>
      <xdr:row>695</xdr:row>
      <xdr:rowOff>95250</xdr:rowOff>
    </xdr:to>
    <xdr:sp macro="" textlink="">
      <xdr:nvSpPr>
        <xdr:cNvPr id="1394" name="TextBox 1393"/>
        <xdr:cNvSpPr txBox="1"/>
      </xdr:nvSpPr>
      <xdr:spPr>
        <a:xfrm>
          <a:off x="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9</xdr:col>
      <xdr:colOff>114300</xdr:colOff>
      <xdr:row>695</xdr:row>
      <xdr:rowOff>95250</xdr:rowOff>
    </xdr:to>
    <xdr:sp macro="" textlink="">
      <xdr:nvSpPr>
        <xdr:cNvPr id="1395" name="TextBox 1394"/>
        <xdr:cNvSpPr txBox="1"/>
      </xdr:nvSpPr>
      <xdr:spPr>
        <a:xfrm>
          <a:off x="4572000" y="1314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690</xdr:row>
      <xdr:rowOff>0</xdr:rowOff>
    </xdr:from>
    <xdr:to>
      <xdr:col>5</xdr:col>
      <xdr:colOff>304800</xdr:colOff>
      <xdr:row>696</xdr:row>
      <xdr:rowOff>95250</xdr:rowOff>
    </xdr:to>
    <xdr:sp macro="" textlink="">
      <xdr:nvSpPr>
        <xdr:cNvPr id="1396" name="TextBox 1395"/>
        <xdr:cNvSpPr txBox="1"/>
      </xdr:nvSpPr>
      <xdr:spPr>
        <a:xfrm>
          <a:off x="2133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690</xdr:row>
      <xdr:rowOff>0</xdr:rowOff>
    </xdr:from>
    <xdr:to>
      <xdr:col>12</xdr:col>
      <xdr:colOff>304800</xdr:colOff>
      <xdr:row>696</xdr:row>
      <xdr:rowOff>95250</xdr:rowOff>
    </xdr:to>
    <xdr:sp macro="" textlink="">
      <xdr:nvSpPr>
        <xdr:cNvPr id="1397" name="TextBox 1396"/>
        <xdr:cNvSpPr txBox="1"/>
      </xdr:nvSpPr>
      <xdr:spPr>
        <a:xfrm>
          <a:off x="6705600" y="1314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720</xdr:row>
      <xdr:rowOff>0</xdr:rowOff>
    </xdr:from>
    <xdr:to>
      <xdr:col>2</xdr:col>
      <xdr:colOff>114300</xdr:colOff>
      <xdr:row>725</xdr:row>
      <xdr:rowOff>95250</xdr:rowOff>
    </xdr:to>
    <xdr:sp macro="" textlink="">
      <xdr:nvSpPr>
        <xdr:cNvPr id="1398" name="TextBox 1397"/>
        <xdr:cNvSpPr txBox="1"/>
      </xdr:nvSpPr>
      <xdr:spPr>
        <a:xfrm>
          <a:off x="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720</xdr:row>
      <xdr:rowOff>0</xdr:rowOff>
    </xdr:from>
    <xdr:to>
      <xdr:col>9</xdr:col>
      <xdr:colOff>114300</xdr:colOff>
      <xdr:row>725</xdr:row>
      <xdr:rowOff>95250</xdr:rowOff>
    </xdr:to>
    <xdr:sp macro="" textlink="">
      <xdr:nvSpPr>
        <xdr:cNvPr id="1399" name="TextBox 1398"/>
        <xdr:cNvSpPr txBox="1"/>
      </xdr:nvSpPr>
      <xdr:spPr>
        <a:xfrm>
          <a:off x="4572000" y="1371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720</xdr:row>
      <xdr:rowOff>0</xdr:rowOff>
    </xdr:from>
    <xdr:to>
      <xdr:col>5</xdr:col>
      <xdr:colOff>304800</xdr:colOff>
      <xdr:row>726</xdr:row>
      <xdr:rowOff>95250</xdr:rowOff>
    </xdr:to>
    <xdr:sp macro="" textlink="">
      <xdr:nvSpPr>
        <xdr:cNvPr id="1400" name="TextBox 1399"/>
        <xdr:cNvSpPr txBox="1"/>
      </xdr:nvSpPr>
      <xdr:spPr>
        <a:xfrm>
          <a:off x="2133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720</xdr:row>
      <xdr:rowOff>0</xdr:rowOff>
    </xdr:from>
    <xdr:to>
      <xdr:col>12</xdr:col>
      <xdr:colOff>304800</xdr:colOff>
      <xdr:row>726</xdr:row>
      <xdr:rowOff>95250</xdr:rowOff>
    </xdr:to>
    <xdr:sp macro="" textlink="">
      <xdr:nvSpPr>
        <xdr:cNvPr id="1401" name="TextBox 1400"/>
        <xdr:cNvSpPr txBox="1"/>
      </xdr:nvSpPr>
      <xdr:spPr>
        <a:xfrm>
          <a:off x="6705600" y="1371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750</xdr:row>
      <xdr:rowOff>0</xdr:rowOff>
    </xdr:from>
    <xdr:to>
      <xdr:col>2</xdr:col>
      <xdr:colOff>114300</xdr:colOff>
      <xdr:row>755</xdr:row>
      <xdr:rowOff>95250</xdr:rowOff>
    </xdr:to>
    <xdr:sp macro="" textlink="">
      <xdr:nvSpPr>
        <xdr:cNvPr id="1402" name="TextBox 1401"/>
        <xdr:cNvSpPr txBox="1"/>
      </xdr:nvSpPr>
      <xdr:spPr>
        <a:xfrm>
          <a:off x="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750</xdr:row>
      <xdr:rowOff>0</xdr:rowOff>
    </xdr:from>
    <xdr:to>
      <xdr:col>9</xdr:col>
      <xdr:colOff>114300</xdr:colOff>
      <xdr:row>755</xdr:row>
      <xdr:rowOff>95250</xdr:rowOff>
    </xdr:to>
    <xdr:sp macro="" textlink="">
      <xdr:nvSpPr>
        <xdr:cNvPr id="1403" name="TextBox 1402"/>
        <xdr:cNvSpPr txBox="1"/>
      </xdr:nvSpPr>
      <xdr:spPr>
        <a:xfrm>
          <a:off x="4572000" y="1428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750</xdr:row>
      <xdr:rowOff>0</xdr:rowOff>
    </xdr:from>
    <xdr:to>
      <xdr:col>5</xdr:col>
      <xdr:colOff>304800</xdr:colOff>
      <xdr:row>756</xdr:row>
      <xdr:rowOff>95250</xdr:rowOff>
    </xdr:to>
    <xdr:sp macro="" textlink="">
      <xdr:nvSpPr>
        <xdr:cNvPr id="1404" name="TextBox 1403"/>
        <xdr:cNvSpPr txBox="1"/>
      </xdr:nvSpPr>
      <xdr:spPr>
        <a:xfrm>
          <a:off x="2133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750</xdr:row>
      <xdr:rowOff>0</xdr:rowOff>
    </xdr:from>
    <xdr:to>
      <xdr:col>12</xdr:col>
      <xdr:colOff>304800</xdr:colOff>
      <xdr:row>756</xdr:row>
      <xdr:rowOff>95250</xdr:rowOff>
    </xdr:to>
    <xdr:sp macro="" textlink="">
      <xdr:nvSpPr>
        <xdr:cNvPr id="1405" name="TextBox 1404"/>
        <xdr:cNvSpPr txBox="1"/>
      </xdr:nvSpPr>
      <xdr:spPr>
        <a:xfrm>
          <a:off x="6705600" y="1428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780</xdr:row>
      <xdr:rowOff>0</xdr:rowOff>
    </xdr:from>
    <xdr:to>
      <xdr:col>2</xdr:col>
      <xdr:colOff>114300</xdr:colOff>
      <xdr:row>785</xdr:row>
      <xdr:rowOff>95250</xdr:rowOff>
    </xdr:to>
    <xdr:sp macro="" textlink="">
      <xdr:nvSpPr>
        <xdr:cNvPr id="1406" name="TextBox 1405"/>
        <xdr:cNvSpPr txBox="1"/>
      </xdr:nvSpPr>
      <xdr:spPr>
        <a:xfrm>
          <a:off x="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780</xdr:row>
      <xdr:rowOff>0</xdr:rowOff>
    </xdr:from>
    <xdr:to>
      <xdr:col>9</xdr:col>
      <xdr:colOff>114300</xdr:colOff>
      <xdr:row>785</xdr:row>
      <xdr:rowOff>95250</xdr:rowOff>
    </xdr:to>
    <xdr:sp macro="" textlink="">
      <xdr:nvSpPr>
        <xdr:cNvPr id="1407" name="TextBox 1406"/>
        <xdr:cNvSpPr txBox="1"/>
      </xdr:nvSpPr>
      <xdr:spPr>
        <a:xfrm>
          <a:off x="4572000" y="1485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780</xdr:row>
      <xdr:rowOff>0</xdr:rowOff>
    </xdr:from>
    <xdr:to>
      <xdr:col>5</xdr:col>
      <xdr:colOff>304800</xdr:colOff>
      <xdr:row>786</xdr:row>
      <xdr:rowOff>95250</xdr:rowOff>
    </xdr:to>
    <xdr:sp macro="" textlink="">
      <xdr:nvSpPr>
        <xdr:cNvPr id="1408" name="TextBox 1407"/>
        <xdr:cNvSpPr txBox="1"/>
      </xdr:nvSpPr>
      <xdr:spPr>
        <a:xfrm>
          <a:off x="2133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780</xdr:row>
      <xdr:rowOff>0</xdr:rowOff>
    </xdr:from>
    <xdr:to>
      <xdr:col>12</xdr:col>
      <xdr:colOff>304800</xdr:colOff>
      <xdr:row>786</xdr:row>
      <xdr:rowOff>95250</xdr:rowOff>
    </xdr:to>
    <xdr:sp macro="" textlink="">
      <xdr:nvSpPr>
        <xdr:cNvPr id="1409" name="TextBox 1408"/>
        <xdr:cNvSpPr txBox="1"/>
      </xdr:nvSpPr>
      <xdr:spPr>
        <a:xfrm>
          <a:off x="6705600" y="1485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810</xdr:row>
      <xdr:rowOff>0</xdr:rowOff>
    </xdr:from>
    <xdr:to>
      <xdr:col>2</xdr:col>
      <xdr:colOff>114300</xdr:colOff>
      <xdr:row>815</xdr:row>
      <xdr:rowOff>95250</xdr:rowOff>
    </xdr:to>
    <xdr:sp macro="" textlink="">
      <xdr:nvSpPr>
        <xdr:cNvPr id="1410" name="TextBox 1409"/>
        <xdr:cNvSpPr txBox="1"/>
      </xdr:nvSpPr>
      <xdr:spPr>
        <a:xfrm>
          <a:off x="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810</xdr:row>
      <xdr:rowOff>0</xdr:rowOff>
    </xdr:from>
    <xdr:to>
      <xdr:col>9</xdr:col>
      <xdr:colOff>114300</xdr:colOff>
      <xdr:row>815</xdr:row>
      <xdr:rowOff>95250</xdr:rowOff>
    </xdr:to>
    <xdr:sp macro="" textlink="">
      <xdr:nvSpPr>
        <xdr:cNvPr id="1411" name="TextBox 1410"/>
        <xdr:cNvSpPr txBox="1"/>
      </xdr:nvSpPr>
      <xdr:spPr>
        <a:xfrm>
          <a:off x="4572000" y="1543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810</xdr:row>
      <xdr:rowOff>0</xdr:rowOff>
    </xdr:from>
    <xdr:to>
      <xdr:col>5</xdr:col>
      <xdr:colOff>304800</xdr:colOff>
      <xdr:row>816</xdr:row>
      <xdr:rowOff>95250</xdr:rowOff>
    </xdr:to>
    <xdr:sp macro="" textlink="">
      <xdr:nvSpPr>
        <xdr:cNvPr id="1412" name="TextBox 1411"/>
        <xdr:cNvSpPr txBox="1"/>
      </xdr:nvSpPr>
      <xdr:spPr>
        <a:xfrm>
          <a:off x="2133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810</xdr:row>
      <xdr:rowOff>0</xdr:rowOff>
    </xdr:from>
    <xdr:to>
      <xdr:col>12</xdr:col>
      <xdr:colOff>304800</xdr:colOff>
      <xdr:row>816</xdr:row>
      <xdr:rowOff>95250</xdr:rowOff>
    </xdr:to>
    <xdr:sp macro="" textlink="">
      <xdr:nvSpPr>
        <xdr:cNvPr id="1413" name="TextBox 1412"/>
        <xdr:cNvSpPr txBox="1"/>
      </xdr:nvSpPr>
      <xdr:spPr>
        <a:xfrm>
          <a:off x="6705600" y="1543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840</xdr:row>
      <xdr:rowOff>0</xdr:rowOff>
    </xdr:from>
    <xdr:to>
      <xdr:col>2</xdr:col>
      <xdr:colOff>114300</xdr:colOff>
      <xdr:row>845</xdr:row>
      <xdr:rowOff>95250</xdr:rowOff>
    </xdr:to>
    <xdr:sp macro="" textlink="">
      <xdr:nvSpPr>
        <xdr:cNvPr id="1414" name="TextBox 1413"/>
        <xdr:cNvSpPr txBox="1"/>
      </xdr:nvSpPr>
      <xdr:spPr>
        <a:xfrm>
          <a:off x="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9</xdr:col>
      <xdr:colOff>114300</xdr:colOff>
      <xdr:row>845</xdr:row>
      <xdr:rowOff>95250</xdr:rowOff>
    </xdr:to>
    <xdr:sp macro="" textlink="">
      <xdr:nvSpPr>
        <xdr:cNvPr id="1415" name="TextBox 1414"/>
        <xdr:cNvSpPr txBox="1"/>
      </xdr:nvSpPr>
      <xdr:spPr>
        <a:xfrm>
          <a:off x="4572000" y="1600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840</xdr:row>
      <xdr:rowOff>0</xdr:rowOff>
    </xdr:from>
    <xdr:to>
      <xdr:col>5</xdr:col>
      <xdr:colOff>304800</xdr:colOff>
      <xdr:row>846</xdr:row>
      <xdr:rowOff>95250</xdr:rowOff>
    </xdr:to>
    <xdr:sp macro="" textlink="">
      <xdr:nvSpPr>
        <xdr:cNvPr id="1416" name="TextBox 1415"/>
        <xdr:cNvSpPr txBox="1"/>
      </xdr:nvSpPr>
      <xdr:spPr>
        <a:xfrm>
          <a:off x="2133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840</xdr:row>
      <xdr:rowOff>0</xdr:rowOff>
    </xdr:from>
    <xdr:to>
      <xdr:col>12</xdr:col>
      <xdr:colOff>304800</xdr:colOff>
      <xdr:row>846</xdr:row>
      <xdr:rowOff>95250</xdr:rowOff>
    </xdr:to>
    <xdr:sp macro="" textlink="">
      <xdr:nvSpPr>
        <xdr:cNvPr id="1417" name="TextBox 1416"/>
        <xdr:cNvSpPr txBox="1"/>
      </xdr:nvSpPr>
      <xdr:spPr>
        <a:xfrm>
          <a:off x="6705600" y="1600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870</xdr:row>
      <xdr:rowOff>0</xdr:rowOff>
    </xdr:from>
    <xdr:to>
      <xdr:col>2</xdr:col>
      <xdr:colOff>114300</xdr:colOff>
      <xdr:row>875</xdr:row>
      <xdr:rowOff>95250</xdr:rowOff>
    </xdr:to>
    <xdr:sp macro="" textlink="">
      <xdr:nvSpPr>
        <xdr:cNvPr id="1418" name="TextBox 1417"/>
        <xdr:cNvSpPr txBox="1"/>
      </xdr:nvSpPr>
      <xdr:spPr>
        <a:xfrm>
          <a:off x="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870</xdr:row>
      <xdr:rowOff>0</xdr:rowOff>
    </xdr:from>
    <xdr:to>
      <xdr:col>9</xdr:col>
      <xdr:colOff>114300</xdr:colOff>
      <xdr:row>875</xdr:row>
      <xdr:rowOff>95250</xdr:rowOff>
    </xdr:to>
    <xdr:sp macro="" textlink="">
      <xdr:nvSpPr>
        <xdr:cNvPr id="1419" name="TextBox 1418"/>
        <xdr:cNvSpPr txBox="1"/>
      </xdr:nvSpPr>
      <xdr:spPr>
        <a:xfrm>
          <a:off x="4572000" y="1657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870</xdr:row>
      <xdr:rowOff>0</xdr:rowOff>
    </xdr:from>
    <xdr:to>
      <xdr:col>5</xdr:col>
      <xdr:colOff>304800</xdr:colOff>
      <xdr:row>876</xdr:row>
      <xdr:rowOff>95250</xdr:rowOff>
    </xdr:to>
    <xdr:sp macro="" textlink="">
      <xdr:nvSpPr>
        <xdr:cNvPr id="1420" name="TextBox 1419"/>
        <xdr:cNvSpPr txBox="1"/>
      </xdr:nvSpPr>
      <xdr:spPr>
        <a:xfrm>
          <a:off x="2133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870</xdr:row>
      <xdr:rowOff>0</xdr:rowOff>
    </xdr:from>
    <xdr:to>
      <xdr:col>12</xdr:col>
      <xdr:colOff>304800</xdr:colOff>
      <xdr:row>876</xdr:row>
      <xdr:rowOff>95250</xdr:rowOff>
    </xdr:to>
    <xdr:sp macro="" textlink="">
      <xdr:nvSpPr>
        <xdr:cNvPr id="1421" name="TextBox 1420"/>
        <xdr:cNvSpPr txBox="1"/>
      </xdr:nvSpPr>
      <xdr:spPr>
        <a:xfrm>
          <a:off x="6705600" y="1657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900</xdr:row>
      <xdr:rowOff>0</xdr:rowOff>
    </xdr:from>
    <xdr:to>
      <xdr:col>2</xdr:col>
      <xdr:colOff>114300</xdr:colOff>
      <xdr:row>905</xdr:row>
      <xdr:rowOff>95250</xdr:rowOff>
    </xdr:to>
    <xdr:sp macro="" textlink="">
      <xdr:nvSpPr>
        <xdr:cNvPr id="1422" name="TextBox 1421"/>
        <xdr:cNvSpPr txBox="1"/>
      </xdr:nvSpPr>
      <xdr:spPr>
        <a:xfrm>
          <a:off x="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900</xdr:row>
      <xdr:rowOff>0</xdr:rowOff>
    </xdr:from>
    <xdr:to>
      <xdr:col>9</xdr:col>
      <xdr:colOff>114300</xdr:colOff>
      <xdr:row>905</xdr:row>
      <xdr:rowOff>95250</xdr:rowOff>
    </xdr:to>
    <xdr:sp macro="" textlink="">
      <xdr:nvSpPr>
        <xdr:cNvPr id="1423" name="TextBox 1422"/>
        <xdr:cNvSpPr txBox="1"/>
      </xdr:nvSpPr>
      <xdr:spPr>
        <a:xfrm>
          <a:off x="4572000" y="17145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900</xdr:row>
      <xdr:rowOff>0</xdr:rowOff>
    </xdr:from>
    <xdr:to>
      <xdr:col>5</xdr:col>
      <xdr:colOff>304800</xdr:colOff>
      <xdr:row>906</xdr:row>
      <xdr:rowOff>95250</xdr:rowOff>
    </xdr:to>
    <xdr:sp macro="" textlink="">
      <xdr:nvSpPr>
        <xdr:cNvPr id="1424" name="TextBox 1423"/>
        <xdr:cNvSpPr txBox="1"/>
      </xdr:nvSpPr>
      <xdr:spPr>
        <a:xfrm>
          <a:off x="2133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900</xdr:row>
      <xdr:rowOff>0</xdr:rowOff>
    </xdr:from>
    <xdr:to>
      <xdr:col>12</xdr:col>
      <xdr:colOff>304800</xdr:colOff>
      <xdr:row>906</xdr:row>
      <xdr:rowOff>95250</xdr:rowOff>
    </xdr:to>
    <xdr:sp macro="" textlink="">
      <xdr:nvSpPr>
        <xdr:cNvPr id="1425" name="TextBox 1424"/>
        <xdr:cNvSpPr txBox="1"/>
      </xdr:nvSpPr>
      <xdr:spPr>
        <a:xfrm>
          <a:off x="6705600" y="17145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930</xdr:row>
      <xdr:rowOff>0</xdr:rowOff>
    </xdr:from>
    <xdr:to>
      <xdr:col>2</xdr:col>
      <xdr:colOff>114300</xdr:colOff>
      <xdr:row>935</xdr:row>
      <xdr:rowOff>95250</xdr:rowOff>
    </xdr:to>
    <xdr:sp macro="" textlink="">
      <xdr:nvSpPr>
        <xdr:cNvPr id="1426" name="TextBox 1425"/>
        <xdr:cNvSpPr txBox="1"/>
      </xdr:nvSpPr>
      <xdr:spPr>
        <a:xfrm>
          <a:off x="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930</xdr:row>
      <xdr:rowOff>0</xdr:rowOff>
    </xdr:from>
    <xdr:to>
      <xdr:col>9</xdr:col>
      <xdr:colOff>114300</xdr:colOff>
      <xdr:row>935</xdr:row>
      <xdr:rowOff>95250</xdr:rowOff>
    </xdr:to>
    <xdr:sp macro="" textlink="">
      <xdr:nvSpPr>
        <xdr:cNvPr id="1427" name="TextBox 1426"/>
        <xdr:cNvSpPr txBox="1"/>
      </xdr:nvSpPr>
      <xdr:spPr>
        <a:xfrm>
          <a:off x="4572000" y="17716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930</xdr:row>
      <xdr:rowOff>0</xdr:rowOff>
    </xdr:from>
    <xdr:to>
      <xdr:col>5</xdr:col>
      <xdr:colOff>304800</xdr:colOff>
      <xdr:row>936</xdr:row>
      <xdr:rowOff>95250</xdr:rowOff>
    </xdr:to>
    <xdr:sp macro="" textlink="">
      <xdr:nvSpPr>
        <xdr:cNvPr id="1428" name="TextBox 1427"/>
        <xdr:cNvSpPr txBox="1"/>
      </xdr:nvSpPr>
      <xdr:spPr>
        <a:xfrm>
          <a:off x="2133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930</xdr:row>
      <xdr:rowOff>0</xdr:rowOff>
    </xdr:from>
    <xdr:to>
      <xdr:col>12</xdr:col>
      <xdr:colOff>304800</xdr:colOff>
      <xdr:row>936</xdr:row>
      <xdr:rowOff>95250</xdr:rowOff>
    </xdr:to>
    <xdr:sp macro="" textlink="">
      <xdr:nvSpPr>
        <xdr:cNvPr id="1429" name="TextBox 1428"/>
        <xdr:cNvSpPr txBox="1"/>
      </xdr:nvSpPr>
      <xdr:spPr>
        <a:xfrm>
          <a:off x="6705600" y="17716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960</xdr:row>
      <xdr:rowOff>0</xdr:rowOff>
    </xdr:from>
    <xdr:to>
      <xdr:col>2</xdr:col>
      <xdr:colOff>114300</xdr:colOff>
      <xdr:row>965</xdr:row>
      <xdr:rowOff>95250</xdr:rowOff>
    </xdr:to>
    <xdr:sp macro="" textlink="">
      <xdr:nvSpPr>
        <xdr:cNvPr id="1430" name="TextBox 1429"/>
        <xdr:cNvSpPr txBox="1"/>
      </xdr:nvSpPr>
      <xdr:spPr>
        <a:xfrm>
          <a:off x="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960</xdr:row>
      <xdr:rowOff>0</xdr:rowOff>
    </xdr:from>
    <xdr:to>
      <xdr:col>9</xdr:col>
      <xdr:colOff>114300</xdr:colOff>
      <xdr:row>965</xdr:row>
      <xdr:rowOff>95250</xdr:rowOff>
    </xdr:to>
    <xdr:sp macro="" textlink="">
      <xdr:nvSpPr>
        <xdr:cNvPr id="1431" name="TextBox 1430"/>
        <xdr:cNvSpPr txBox="1"/>
      </xdr:nvSpPr>
      <xdr:spPr>
        <a:xfrm>
          <a:off x="4572000" y="18288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960</xdr:row>
      <xdr:rowOff>0</xdr:rowOff>
    </xdr:from>
    <xdr:to>
      <xdr:col>5</xdr:col>
      <xdr:colOff>304800</xdr:colOff>
      <xdr:row>966</xdr:row>
      <xdr:rowOff>95250</xdr:rowOff>
    </xdr:to>
    <xdr:sp macro="" textlink="">
      <xdr:nvSpPr>
        <xdr:cNvPr id="1432" name="TextBox 1431"/>
        <xdr:cNvSpPr txBox="1"/>
      </xdr:nvSpPr>
      <xdr:spPr>
        <a:xfrm>
          <a:off x="2133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960</xdr:row>
      <xdr:rowOff>0</xdr:rowOff>
    </xdr:from>
    <xdr:to>
      <xdr:col>12</xdr:col>
      <xdr:colOff>304800</xdr:colOff>
      <xdr:row>966</xdr:row>
      <xdr:rowOff>95250</xdr:rowOff>
    </xdr:to>
    <xdr:sp macro="" textlink="">
      <xdr:nvSpPr>
        <xdr:cNvPr id="1433" name="TextBox 1432"/>
        <xdr:cNvSpPr txBox="1"/>
      </xdr:nvSpPr>
      <xdr:spPr>
        <a:xfrm>
          <a:off x="6705600" y="18288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990</xdr:row>
      <xdr:rowOff>0</xdr:rowOff>
    </xdr:from>
    <xdr:to>
      <xdr:col>2</xdr:col>
      <xdr:colOff>114300</xdr:colOff>
      <xdr:row>995</xdr:row>
      <xdr:rowOff>95250</xdr:rowOff>
    </xdr:to>
    <xdr:sp macro="" textlink="">
      <xdr:nvSpPr>
        <xdr:cNvPr id="1434" name="TextBox 1433"/>
        <xdr:cNvSpPr txBox="1"/>
      </xdr:nvSpPr>
      <xdr:spPr>
        <a:xfrm>
          <a:off x="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990</xdr:row>
      <xdr:rowOff>0</xdr:rowOff>
    </xdr:from>
    <xdr:to>
      <xdr:col>9</xdr:col>
      <xdr:colOff>114300</xdr:colOff>
      <xdr:row>995</xdr:row>
      <xdr:rowOff>95250</xdr:rowOff>
    </xdr:to>
    <xdr:sp macro="" textlink="">
      <xdr:nvSpPr>
        <xdr:cNvPr id="1435" name="TextBox 1434"/>
        <xdr:cNvSpPr txBox="1"/>
      </xdr:nvSpPr>
      <xdr:spPr>
        <a:xfrm>
          <a:off x="4572000" y="18859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990</xdr:row>
      <xdr:rowOff>0</xdr:rowOff>
    </xdr:from>
    <xdr:to>
      <xdr:col>5</xdr:col>
      <xdr:colOff>304800</xdr:colOff>
      <xdr:row>996</xdr:row>
      <xdr:rowOff>95250</xdr:rowOff>
    </xdr:to>
    <xdr:sp macro="" textlink="">
      <xdr:nvSpPr>
        <xdr:cNvPr id="1436" name="TextBox 1435"/>
        <xdr:cNvSpPr txBox="1"/>
      </xdr:nvSpPr>
      <xdr:spPr>
        <a:xfrm>
          <a:off x="2133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990</xdr:row>
      <xdr:rowOff>0</xdr:rowOff>
    </xdr:from>
    <xdr:to>
      <xdr:col>12</xdr:col>
      <xdr:colOff>304800</xdr:colOff>
      <xdr:row>996</xdr:row>
      <xdr:rowOff>95250</xdr:rowOff>
    </xdr:to>
    <xdr:sp macro="" textlink="">
      <xdr:nvSpPr>
        <xdr:cNvPr id="1437" name="TextBox 1436"/>
        <xdr:cNvSpPr txBox="1"/>
      </xdr:nvSpPr>
      <xdr:spPr>
        <a:xfrm>
          <a:off x="6705600" y="18859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1020</xdr:row>
      <xdr:rowOff>0</xdr:rowOff>
    </xdr:from>
    <xdr:to>
      <xdr:col>2</xdr:col>
      <xdr:colOff>114300</xdr:colOff>
      <xdr:row>1025</xdr:row>
      <xdr:rowOff>95250</xdr:rowOff>
    </xdr:to>
    <xdr:sp macro="" textlink="">
      <xdr:nvSpPr>
        <xdr:cNvPr id="1438" name="TextBox 1437"/>
        <xdr:cNvSpPr txBox="1"/>
      </xdr:nvSpPr>
      <xdr:spPr>
        <a:xfrm>
          <a:off x="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1020</xdr:row>
      <xdr:rowOff>0</xdr:rowOff>
    </xdr:from>
    <xdr:to>
      <xdr:col>9</xdr:col>
      <xdr:colOff>114300</xdr:colOff>
      <xdr:row>1025</xdr:row>
      <xdr:rowOff>95250</xdr:rowOff>
    </xdr:to>
    <xdr:sp macro="" textlink="">
      <xdr:nvSpPr>
        <xdr:cNvPr id="1439" name="TextBox 1438"/>
        <xdr:cNvSpPr txBox="1"/>
      </xdr:nvSpPr>
      <xdr:spPr>
        <a:xfrm>
          <a:off x="4572000" y="19431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5</xdr:col>
      <xdr:colOff>304800</xdr:colOff>
      <xdr:row>1026</xdr:row>
      <xdr:rowOff>95250</xdr:rowOff>
    </xdr:to>
    <xdr:sp macro="" textlink="">
      <xdr:nvSpPr>
        <xdr:cNvPr id="1440" name="TextBox 1439"/>
        <xdr:cNvSpPr txBox="1"/>
      </xdr:nvSpPr>
      <xdr:spPr>
        <a:xfrm>
          <a:off x="2133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1020</xdr:row>
      <xdr:rowOff>0</xdr:rowOff>
    </xdr:from>
    <xdr:to>
      <xdr:col>12</xdr:col>
      <xdr:colOff>304800</xdr:colOff>
      <xdr:row>1026</xdr:row>
      <xdr:rowOff>95250</xdr:rowOff>
    </xdr:to>
    <xdr:sp macro="" textlink="">
      <xdr:nvSpPr>
        <xdr:cNvPr id="1441" name="TextBox 1440"/>
        <xdr:cNvSpPr txBox="1"/>
      </xdr:nvSpPr>
      <xdr:spPr>
        <a:xfrm>
          <a:off x="6705600" y="19431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1050</xdr:row>
      <xdr:rowOff>0</xdr:rowOff>
    </xdr:from>
    <xdr:to>
      <xdr:col>2</xdr:col>
      <xdr:colOff>114300</xdr:colOff>
      <xdr:row>1055</xdr:row>
      <xdr:rowOff>95250</xdr:rowOff>
    </xdr:to>
    <xdr:sp macro="" textlink="">
      <xdr:nvSpPr>
        <xdr:cNvPr id="1442" name="TextBox 1441"/>
        <xdr:cNvSpPr txBox="1"/>
      </xdr:nvSpPr>
      <xdr:spPr>
        <a:xfrm>
          <a:off x="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1050</xdr:row>
      <xdr:rowOff>0</xdr:rowOff>
    </xdr:from>
    <xdr:to>
      <xdr:col>9</xdr:col>
      <xdr:colOff>114300</xdr:colOff>
      <xdr:row>1055</xdr:row>
      <xdr:rowOff>95250</xdr:rowOff>
    </xdr:to>
    <xdr:sp macro="" textlink="">
      <xdr:nvSpPr>
        <xdr:cNvPr id="1443" name="TextBox 1442"/>
        <xdr:cNvSpPr txBox="1"/>
      </xdr:nvSpPr>
      <xdr:spPr>
        <a:xfrm>
          <a:off x="4572000" y="20002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1050</xdr:row>
      <xdr:rowOff>0</xdr:rowOff>
    </xdr:from>
    <xdr:to>
      <xdr:col>5</xdr:col>
      <xdr:colOff>304800</xdr:colOff>
      <xdr:row>1056</xdr:row>
      <xdr:rowOff>95250</xdr:rowOff>
    </xdr:to>
    <xdr:sp macro="" textlink="">
      <xdr:nvSpPr>
        <xdr:cNvPr id="1444" name="TextBox 1443"/>
        <xdr:cNvSpPr txBox="1"/>
      </xdr:nvSpPr>
      <xdr:spPr>
        <a:xfrm>
          <a:off x="2133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1050</xdr:row>
      <xdr:rowOff>0</xdr:rowOff>
    </xdr:from>
    <xdr:to>
      <xdr:col>12</xdr:col>
      <xdr:colOff>304800</xdr:colOff>
      <xdr:row>1056</xdr:row>
      <xdr:rowOff>95250</xdr:rowOff>
    </xdr:to>
    <xdr:sp macro="" textlink="">
      <xdr:nvSpPr>
        <xdr:cNvPr id="1445" name="TextBox 1444"/>
        <xdr:cNvSpPr txBox="1"/>
      </xdr:nvSpPr>
      <xdr:spPr>
        <a:xfrm>
          <a:off x="6705600" y="20002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1080</xdr:row>
      <xdr:rowOff>0</xdr:rowOff>
    </xdr:from>
    <xdr:to>
      <xdr:col>2</xdr:col>
      <xdr:colOff>114300</xdr:colOff>
      <xdr:row>1085</xdr:row>
      <xdr:rowOff>95250</xdr:rowOff>
    </xdr:to>
    <xdr:sp macro="" textlink="">
      <xdr:nvSpPr>
        <xdr:cNvPr id="1446" name="TextBox 1445"/>
        <xdr:cNvSpPr txBox="1"/>
      </xdr:nvSpPr>
      <xdr:spPr>
        <a:xfrm>
          <a:off x="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1080</xdr:row>
      <xdr:rowOff>0</xdr:rowOff>
    </xdr:from>
    <xdr:to>
      <xdr:col>9</xdr:col>
      <xdr:colOff>114300</xdr:colOff>
      <xdr:row>1085</xdr:row>
      <xdr:rowOff>95250</xdr:rowOff>
    </xdr:to>
    <xdr:sp macro="" textlink="">
      <xdr:nvSpPr>
        <xdr:cNvPr id="1447" name="TextBox 1446"/>
        <xdr:cNvSpPr txBox="1"/>
      </xdr:nvSpPr>
      <xdr:spPr>
        <a:xfrm>
          <a:off x="4572000" y="20574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1080</xdr:row>
      <xdr:rowOff>0</xdr:rowOff>
    </xdr:from>
    <xdr:to>
      <xdr:col>5</xdr:col>
      <xdr:colOff>304800</xdr:colOff>
      <xdr:row>1086</xdr:row>
      <xdr:rowOff>95250</xdr:rowOff>
    </xdr:to>
    <xdr:sp macro="" textlink="">
      <xdr:nvSpPr>
        <xdr:cNvPr id="1448" name="TextBox 1447"/>
        <xdr:cNvSpPr txBox="1"/>
      </xdr:nvSpPr>
      <xdr:spPr>
        <a:xfrm>
          <a:off x="2133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1080</xdr:row>
      <xdr:rowOff>0</xdr:rowOff>
    </xdr:from>
    <xdr:to>
      <xdr:col>12</xdr:col>
      <xdr:colOff>304800</xdr:colOff>
      <xdr:row>1086</xdr:row>
      <xdr:rowOff>95250</xdr:rowOff>
    </xdr:to>
    <xdr:sp macro="" textlink="">
      <xdr:nvSpPr>
        <xdr:cNvPr id="1449" name="TextBox 1448"/>
        <xdr:cNvSpPr txBox="1"/>
      </xdr:nvSpPr>
      <xdr:spPr>
        <a:xfrm>
          <a:off x="6705600" y="20574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1110</xdr:row>
      <xdr:rowOff>0</xdr:rowOff>
    </xdr:from>
    <xdr:to>
      <xdr:col>2</xdr:col>
      <xdr:colOff>114300</xdr:colOff>
      <xdr:row>1115</xdr:row>
      <xdr:rowOff>95250</xdr:rowOff>
    </xdr:to>
    <xdr:sp macro="" textlink="">
      <xdr:nvSpPr>
        <xdr:cNvPr id="1450" name="TextBox 1449"/>
        <xdr:cNvSpPr txBox="1"/>
      </xdr:nvSpPr>
      <xdr:spPr>
        <a:xfrm>
          <a:off x="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1110</xdr:row>
      <xdr:rowOff>0</xdr:rowOff>
    </xdr:from>
    <xdr:to>
      <xdr:col>9</xdr:col>
      <xdr:colOff>114300</xdr:colOff>
      <xdr:row>1115</xdr:row>
      <xdr:rowOff>95250</xdr:rowOff>
    </xdr:to>
    <xdr:sp macro="" textlink="">
      <xdr:nvSpPr>
        <xdr:cNvPr id="1451" name="TextBox 1450"/>
        <xdr:cNvSpPr txBox="1"/>
      </xdr:nvSpPr>
      <xdr:spPr>
        <a:xfrm>
          <a:off x="4572000" y="21145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1110</xdr:row>
      <xdr:rowOff>0</xdr:rowOff>
    </xdr:from>
    <xdr:to>
      <xdr:col>5</xdr:col>
      <xdr:colOff>304800</xdr:colOff>
      <xdr:row>1116</xdr:row>
      <xdr:rowOff>95250</xdr:rowOff>
    </xdr:to>
    <xdr:sp macro="" textlink="">
      <xdr:nvSpPr>
        <xdr:cNvPr id="1452" name="TextBox 1451"/>
        <xdr:cNvSpPr txBox="1"/>
      </xdr:nvSpPr>
      <xdr:spPr>
        <a:xfrm>
          <a:off x="2133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1110</xdr:row>
      <xdr:rowOff>0</xdr:rowOff>
    </xdr:from>
    <xdr:to>
      <xdr:col>12</xdr:col>
      <xdr:colOff>304800</xdr:colOff>
      <xdr:row>1116</xdr:row>
      <xdr:rowOff>95250</xdr:rowOff>
    </xdr:to>
    <xdr:sp macro="" textlink="">
      <xdr:nvSpPr>
        <xdr:cNvPr id="1453" name="TextBox 1452"/>
        <xdr:cNvSpPr txBox="1"/>
      </xdr:nvSpPr>
      <xdr:spPr>
        <a:xfrm>
          <a:off x="6705600" y="21145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1140</xdr:row>
      <xdr:rowOff>0</xdr:rowOff>
    </xdr:from>
    <xdr:to>
      <xdr:col>2</xdr:col>
      <xdr:colOff>114300</xdr:colOff>
      <xdr:row>1145</xdr:row>
      <xdr:rowOff>95250</xdr:rowOff>
    </xdr:to>
    <xdr:sp macro="" textlink="">
      <xdr:nvSpPr>
        <xdr:cNvPr id="1454" name="TextBox 1453"/>
        <xdr:cNvSpPr txBox="1"/>
      </xdr:nvSpPr>
      <xdr:spPr>
        <a:xfrm>
          <a:off x="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1140</xdr:row>
      <xdr:rowOff>0</xdr:rowOff>
    </xdr:from>
    <xdr:to>
      <xdr:col>9</xdr:col>
      <xdr:colOff>114300</xdr:colOff>
      <xdr:row>1145</xdr:row>
      <xdr:rowOff>95250</xdr:rowOff>
    </xdr:to>
    <xdr:sp macro="" textlink="">
      <xdr:nvSpPr>
        <xdr:cNvPr id="1455" name="TextBox 1454"/>
        <xdr:cNvSpPr txBox="1"/>
      </xdr:nvSpPr>
      <xdr:spPr>
        <a:xfrm>
          <a:off x="4572000" y="21717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1140</xdr:row>
      <xdr:rowOff>0</xdr:rowOff>
    </xdr:from>
    <xdr:to>
      <xdr:col>5</xdr:col>
      <xdr:colOff>304800</xdr:colOff>
      <xdr:row>1146</xdr:row>
      <xdr:rowOff>95250</xdr:rowOff>
    </xdr:to>
    <xdr:sp macro="" textlink="">
      <xdr:nvSpPr>
        <xdr:cNvPr id="1456" name="TextBox 1455"/>
        <xdr:cNvSpPr txBox="1"/>
      </xdr:nvSpPr>
      <xdr:spPr>
        <a:xfrm>
          <a:off x="2133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1140</xdr:row>
      <xdr:rowOff>0</xdr:rowOff>
    </xdr:from>
    <xdr:to>
      <xdr:col>12</xdr:col>
      <xdr:colOff>304800</xdr:colOff>
      <xdr:row>1146</xdr:row>
      <xdr:rowOff>95250</xdr:rowOff>
    </xdr:to>
    <xdr:sp macro="" textlink="">
      <xdr:nvSpPr>
        <xdr:cNvPr id="1457" name="TextBox 1456"/>
        <xdr:cNvSpPr txBox="1"/>
      </xdr:nvSpPr>
      <xdr:spPr>
        <a:xfrm>
          <a:off x="6705600" y="21717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1170</xdr:row>
      <xdr:rowOff>0</xdr:rowOff>
    </xdr:from>
    <xdr:to>
      <xdr:col>2</xdr:col>
      <xdr:colOff>114300</xdr:colOff>
      <xdr:row>1175</xdr:row>
      <xdr:rowOff>95250</xdr:rowOff>
    </xdr:to>
    <xdr:sp macro="" textlink="">
      <xdr:nvSpPr>
        <xdr:cNvPr id="1458" name="TextBox 1457"/>
        <xdr:cNvSpPr txBox="1"/>
      </xdr:nvSpPr>
      <xdr:spPr>
        <a:xfrm>
          <a:off x="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1170</xdr:row>
      <xdr:rowOff>0</xdr:rowOff>
    </xdr:from>
    <xdr:to>
      <xdr:col>9</xdr:col>
      <xdr:colOff>114300</xdr:colOff>
      <xdr:row>1175</xdr:row>
      <xdr:rowOff>95250</xdr:rowOff>
    </xdr:to>
    <xdr:sp macro="" textlink="">
      <xdr:nvSpPr>
        <xdr:cNvPr id="1459" name="TextBox 1458"/>
        <xdr:cNvSpPr txBox="1"/>
      </xdr:nvSpPr>
      <xdr:spPr>
        <a:xfrm>
          <a:off x="4572000" y="22288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1170</xdr:row>
      <xdr:rowOff>0</xdr:rowOff>
    </xdr:from>
    <xdr:to>
      <xdr:col>5</xdr:col>
      <xdr:colOff>304800</xdr:colOff>
      <xdr:row>1176</xdr:row>
      <xdr:rowOff>95250</xdr:rowOff>
    </xdr:to>
    <xdr:sp macro="" textlink="">
      <xdr:nvSpPr>
        <xdr:cNvPr id="1460" name="TextBox 1459"/>
        <xdr:cNvSpPr txBox="1"/>
      </xdr:nvSpPr>
      <xdr:spPr>
        <a:xfrm>
          <a:off x="2133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1170</xdr:row>
      <xdr:rowOff>0</xdr:rowOff>
    </xdr:from>
    <xdr:to>
      <xdr:col>12</xdr:col>
      <xdr:colOff>304800</xdr:colOff>
      <xdr:row>1176</xdr:row>
      <xdr:rowOff>95250</xdr:rowOff>
    </xdr:to>
    <xdr:sp macro="" textlink="">
      <xdr:nvSpPr>
        <xdr:cNvPr id="1461" name="TextBox 1460"/>
        <xdr:cNvSpPr txBox="1"/>
      </xdr:nvSpPr>
      <xdr:spPr>
        <a:xfrm>
          <a:off x="6705600" y="22288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1200</xdr:row>
      <xdr:rowOff>0</xdr:rowOff>
    </xdr:from>
    <xdr:to>
      <xdr:col>2</xdr:col>
      <xdr:colOff>114300</xdr:colOff>
      <xdr:row>1205</xdr:row>
      <xdr:rowOff>95250</xdr:rowOff>
    </xdr:to>
    <xdr:sp macro="" textlink="">
      <xdr:nvSpPr>
        <xdr:cNvPr id="1462" name="TextBox 1461"/>
        <xdr:cNvSpPr txBox="1"/>
      </xdr:nvSpPr>
      <xdr:spPr>
        <a:xfrm>
          <a:off x="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1200</xdr:row>
      <xdr:rowOff>0</xdr:rowOff>
    </xdr:from>
    <xdr:to>
      <xdr:col>9</xdr:col>
      <xdr:colOff>114300</xdr:colOff>
      <xdr:row>1205</xdr:row>
      <xdr:rowOff>95250</xdr:rowOff>
    </xdr:to>
    <xdr:sp macro="" textlink="">
      <xdr:nvSpPr>
        <xdr:cNvPr id="1463" name="TextBox 1462"/>
        <xdr:cNvSpPr txBox="1"/>
      </xdr:nvSpPr>
      <xdr:spPr>
        <a:xfrm>
          <a:off x="4572000" y="22860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1200</xdr:row>
      <xdr:rowOff>0</xdr:rowOff>
    </xdr:from>
    <xdr:to>
      <xdr:col>5</xdr:col>
      <xdr:colOff>304800</xdr:colOff>
      <xdr:row>1206</xdr:row>
      <xdr:rowOff>95250</xdr:rowOff>
    </xdr:to>
    <xdr:sp macro="" textlink="">
      <xdr:nvSpPr>
        <xdr:cNvPr id="1464" name="TextBox 1463"/>
        <xdr:cNvSpPr txBox="1"/>
      </xdr:nvSpPr>
      <xdr:spPr>
        <a:xfrm>
          <a:off x="2133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1200</xdr:row>
      <xdr:rowOff>0</xdr:rowOff>
    </xdr:from>
    <xdr:to>
      <xdr:col>12</xdr:col>
      <xdr:colOff>304800</xdr:colOff>
      <xdr:row>1206</xdr:row>
      <xdr:rowOff>95250</xdr:rowOff>
    </xdr:to>
    <xdr:sp macro="" textlink="">
      <xdr:nvSpPr>
        <xdr:cNvPr id="1465" name="TextBox 1464"/>
        <xdr:cNvSpPr txBox="1"/>
      </xdr:nvSpPr>
      <xdr:spPr>
        <a:xfrm>
          <a:off x="6705600" y="22860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1230</xdr:row>
      <xdr:rowOff>0</xdr:rowOff>
    </xdr:from>
    <xdr:to>
      <xdr:col>2</xdr:col>
      <xdr:colOff>114300</xdr:colOff>
      <xdr:row>1235</xdr:row>
      <xdr:rowOff>95250</xdr:rowOff>
    </xdr:to>
    <xdr:sp macro="" textlink="">
      <xdr:nvSpPr>
        <xdr:cNvPr id="1466" name="TextBox 1465"/>
        <xdr:cNvSpPr txBox="1"/>
      </xdr:nvSpPr>
      <xdr:spPr>
        <a:xfrm>
          <a:off x="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1230</xdr:row>
      <xdr:rowOff>0</xdr:rowOff>
    </xdr:from>
    <xdr:to>
      <xdr:col>9</xdr:col>
      <xdr:colOff>114300</xdr:colOff>
      <xdr:row>1235</xdr:row>
      <xdr:rowOff>95250</xdr:rowOff>
    </xdr:to>
    <xdr:sp macro="" textlink="">
      <xdr:nvSpPr>
        <xdr:cNvPr id="1467" name="TextBox 1466"/>
        <xdr:cNvSpPr txBox="1"/>
      </xdr:nvSpPr>
      <xdr:spPr>
        <a:xfrm>
          <a:off x="4572000" y="23431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1230</xdr:row>
      <xdr:rowOff>0</xdr:rowOff>
    </xdr:from>
    <xdr:to>
      <xdr:col>5</xdr:col>
      <xdr:colOff>304800</xdr:colOff>
      <xdr:row>1236</xdr:row>
      <xdr:rowOff>95250</xdr:rowOff>
    </xdr:to>
    <xdr:sp macro="" textlink="">
      <xdr:nvSpPr>
        <xdr:cNvPr id="1468" name="TextBox 1467"/>
        <xdr:cNvSpPr txBox="1"/>
      </xdr:nvSpPr>
      <xdr:spPr>
        <a:xfrm>
          <a:off x="2133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1230</xdr:row>
      <xdr:rowOff>0</xdr:rowOff>
    </xdr:from>
    <xdr:to>
      <xdr:col>12</xdr:col>
      <xdr:colOff>304800</xdr:colOff>
      <xdr:row>1236</xdr:row>
      <xdr:rowOff>95250</xdr:rowOff>
    </xdr:to>
    <xdr:sp macro="" textlink="">
      <xdr:nvSpPr>
        <xdr:cNvPr id="1469" name="TextBox 1468"/>
        <xdr:cNvSpPr txBox="1"/>
      </xdr:nvSpPr>
      <xdr:spPr>
        <a:xfrm>
          <a:off x="6705600" y="23431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1260</xdr:row>
      <xdr:rowOff>0</xdr:rowOff>
    </xdr:from>
    <xdr:to>
      <xdr:col>2</xdr:col>
      <xdr:colOff>114300</xdr:colOff>
      <xdr:row>1265</xdr:row>
      <xdr:rowOff>95250</xdr:rowOff>
    </xdr:to>
    <xdr:sp macro="" textlink="">
      <xdr:nvSpPr>
        <xdr:cNvPr id="1470" name="TextBox 1469"/>
        <xdr:cNvSpPr txBox="1"/>
      </xdr:nvSpPr>
      <xdr:spPr>
        <a:xfrm>
          <a:off x="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1260</xdr:row>
      <xdr:rowOff>0</xdr:rowOff>
    </xdr:from>
    <xdr:to>
      <xdr:col>9</xdr:col>
      <xdr:colOff>114300</xdr:colOff>
      <xdr:row>1265</xdr:row>
      <xdr:rowOff>95250</xdr:rowOff>
    </xdr:to>
    <xdr:sp macro="" textlink="">
      <xdr:nvSpPr>
        <xdr:cNvPr id="1471" name="TextBox 1470"/>
        <xdr:cNvSpPr txBox="1"/>
      </xdr:nvSpPr>
      <xdr:spPr>
        <a:xfrm>
          <a:off x="4572000" y="24003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1260</xdr:row>
      <xdr:rowOff>0</xdr:rowOff>
    </xdr:from>
    <xdr:to>
      <xdr:col>5</xdr:col>
      <xdr:colOff>304800</xdr:colOff>
      <xdr:row>1266</xdr:row>
      <xdr:rowOff>95250</xdr:rowOff>
    </xdr:to>
    <xdr:sp macro="" textlink="">
      <xdr:nvSpPr>
        <xdr:cNvPr id="1472" name="TextBox 1471"/>
        <xdr:cNvSpPr txBox="1"/>
      </xdr:nvSpPr>
      <xdr:spPr>
        <a:xfrm>
          <a:off x="2133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1260</xdr:row>
      <xdr:rowOff>0</xdr:rowOff>
    </xdr:from>
    <xdr:to>
      <xdr:col>12</xdr:col>
      <xdr:colOff>304800</xdr:colOff>
      <xdr:row>1266</xdr:row>
      <xdr:rowOff>95250</xdr:rowOff>
    </xdr:to>
    <xdr:sp macro="" textlink="">
      <xdr:nvSpPr>
        <xdr:cNvPr id="1473" name="TextBox 1472"/>
        <xdr:cNvSpPr txBox="1"/>
      </xdr:nvSpPr>
      <xdr:spPr>
        <a:xfrm>
          <a:off x="6705600" y="24003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1290</xdr:row>
      <xdr:rowOff>0</xdr:rowOff>
    </xdr:from>
    <xdr:to>
      <xdr:col>2</xdr:col>
      <xdr:colOff>114300</xdr:colOff>
      <xdr:row>1295</xdr:row>
      <xdr:rowOff>95250</xdr:rowOff>
    </xdr:to>
    <xdr:sp macro="" textlink="">
      <xdr:nvSpPr>
        <xdr:cNvPr id="1474" name="TextBox 1473"/>
        <xdr:cNvSpPr txBox="1"/>
      </xdr:nvSpPr>
      <xdr:spPr>
        <a:xfrm>
          <a:off x="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1290</xdr:row>
      <xdr:rowOff>0</xdr:rowOff>
    </xdr:from>
    <xdr:to>
      <xdr:col>9</xdr:col>
      <xdr:colOff>114300</xdr:colOff>
      <xdr:row>1295</xdr:row>
      <xdr:rowOff>95250</xdr:rowOff>
    </xdr:to>
    <xdr:sp macro="" textlink="">
      <xdr:nvSpPr>
        <xdr:cNvPr id="1475" name="TextBox 1474"/>
        <xdr:cNvSpPr txBox="1"/>
      </xdr:nvSpPr>
      <xdr:spPr>
        <a:xfrm>
          <a:off x="4572000" y="24574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1290</xdr:row>
      <xdr:rowOff>0</xdr:rowOff>
    </xdr:from>
    <xdr:to>
      <xdr:col>5</xdr:col>
      <xdr:colOff>304800</xdr:colOff>
      <xdr:row>1296</xdr:row>
      <xdr:rowOff>95250</xdr:rowOff>
    </xdr:to>
    <xdr:sp macro="" textlink="">
      <xdr:nvSpPr>
        <xdr:cNvPr id="1476" name="TextBox 1475"/>
        <xdr:cNvSpPr txBox="1"/>
      </xdr:nvSpPr>
      <xdr:spPr>
        <a:xfrm>
          <a:off x="2133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1290</xdr:row>
      <xdr:rowOff>0</xdr:rowOff>
    </xdr:from>
    <xdr:to>
      <xdr:col>12</xdr:col>
      <xdr:colOff>304800</xdr:colOff>
      <xdr:row>1296</xdr:row>
      <xdr:rowOff>95250</xdr:rowOff>
    </xdr:to>
    <xdr:sp macro="" textlink="">
      <xdr:nvSpPr>
        <xdr:cNvPr id="1477" name="TextBox 1476"/>
        <xdr:cNvSpPr txBox="1"/>
      </xdr:nvSpPr>
      <xdr:spPr>
        <a:xfrm>
          <a:off x="6705600" y="24574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1320</xdr:row>
      <xdr:rowOff>0</xdr:rowOff>
    </xdr:from>
    <xdr:to>
      <xdr:col>2</xdr:col>
      <xdr:colOff>114300</xdr:colOff>
      <xdr:row>1325</xdr:row>
      <xdr:rowOff>95250</xdr:rowOff>
    </xdr:to>
    <xdr:sp macro="" textlink="">
      <xdr:nvSpPr>
        <xdr:cNvPr id="1478" name="TextBox 1477"/>
        <xdr:cNvSpPr txBox="1"/>
      </xdr:nvSpPr>
      <xdr:spPr>
        <a:xfrm>
          <a:off x="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1320</xdr:row>
      <xdr:rowOff>0</xdr:rowOff>
    </xdr:from>
    <xdr:to>
      <xdr:col>9</xdr:col>
      <xdr:colOff>114300</xdr:colOff>
      <xdr:row>1325</xdr:row>
      <xdr:rowOff>95250</xdr:rowOff>
    </xdr:to>
    <xdr:sp macro="" textlink="">
      <xdr:nvSpPr>
        <xdr:cNvPr id="1479" name="TextBox 1478"/>
        <xdr:cNvSpPr txBox="1"/>
      </xdr:nvSpPr>
      <xdr:spPr>
        <a:xfrm>
          <a:off x="4572000" y="25146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1320</xdr:row>
      <xdr:rowOff>0</xdr:rowOff>
    </xdr:from>
    <xdr:to>
      <xdr:col>5</xdr:col>
      <xdr:colOff>304800</xdr:colOff>
      <xdr:row>1326</xdr:row>
      <xdr:rowOff>95250</xdr:rowOff>
    </xdr:to>
    <xdr:sp macro="" textlink="">
      <xdr:nvSpPr>
        <xdr:cNvPr id="1480" name="TextBox 1479"/>
        <xdr:cNvSpPr txBox="1"/>
      </xdr:nvSpPr>
      <xdr:spPr>
        <a:xfrm>
          <a:off x="2133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1320</xdr:row>
      <xdr:rowOff>0</xdr:rowOff>
    </xdr:from>
    <xdr:to>
      <xdr:col>12</xdr:col>
      <xdr:colOff>304800</xdr:colOff>
      <xdr:row>1326</xdr:row>
      <xdr:rowOff>95250</xdr:rowOff>
    </xdr:to>
    <xdr:sp macro="" textlink="">
      <xdr:nvSpPr>
        <xdr:cNvPr id="1481" name="TextBox 1480"/>
        <xdr:cNvSpPr txBox="1"/>
      </xdr:nvSpPr>
      <xdr:spPr>
        <a:xfrm>
          <a:off x="6705600" y="25146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1350</xdr:row>
      <xdr:rowOff>0</xdr:rowOff>
    </xdr:from>
    <xdr:to>
      <xdr:col>2</xdr:col>
      <xdr:colOff>114300</xdr:colOff>
      <xdr:row>1355</xdr:row>
      <xdr:rowOff>95250</xdr:rowOff>
    </xdr:to>
    <xdr:sp macro="" textlink="">
      <xdr:nvSpPr>
        <xdr:cNvPr id="1482" name="TextBox 1481"/>
        <xdr:cNvSpPr txBox="1"/>
      </xdr:nvSpPr>
      <xdr:spPr>
        <a:xfrm>
          <a:off x="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1350</xdr:row>
      <xdr:rowOff>0</xdr:rowOff>
    </xdr:from>
    <xdr:to>
      <xdr:col>9</xdr:col>
      <xdr:colOff>114300</xdr:colOff>
      <xdr:row>1355</xdr:row>
      <xdr:rowOff>95250</xdr:rowOff>
    </xdr:to>
    <xdr:sp macro="" textlink="">
      <xdr:nvSpPr>
        <xdr:cNvPr id="1483" name="TextBox 1482"/>
        <xdr:cNvSpPr txBox="1"/>
      </xdr:nvSpPr>
      <xdr:spPr>
        <a:xfrm>
          <a:off x="4572000" y="25717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1350</xdr:row>
      <xdr:rowOff>0</xdr:rowOff>
    </xdr:from>
    <xdr:to>
      <xdr:col>5</xdr:col>
      <xdr:colOff>304800</xdr:colOff>
      <xdr:row>1356</xdr:row>
      <xdr:rowOff>95250</xdr:rowOff>
    </xdr:to>
    <xdr:sp macro="" textlink="">
      <xdr:nvSpPr>
        <xdr:cNvPr id="1484" name="TextBox 1483"/>
        <xdr:cNvSpPr txBox="1"/>
      </xdr:nvSpPr>
      <xdr:spPr>
        <a:xfrm>
          <a:off x="2133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1350</xdr:row>
      <xdr:rowOff>0</xdr:rowOff>
    </xdr:from>
    <xdr:to>
      <xdr:col>12</xdr:col>
      <xdr:colOff>304800</xdr:colOff>
      <xdr:row>1356</xdr:row>
      <xdr:rowOff>95250</xdr:rowOff>
    </xdr:to>
    <xdr:sp macro="" textlink="">
      <xdr:nvSpPr>
        <xdr:cNvPr id="1485" name="TextBox 1484"/>
        <xdr:cNvSpPr txBox="1"/>
      </xdr:nvSpPr>
      <xdr:spPr>
        <a:xfrm>
          <a:off x="6705600" y="25717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1380</xdr:row>
      <xdr:rowOff>0</xdr:rowOff>
    </xdr:from>
    <xdr:to>
      <xdr:col>2</xdr:col>
      <xdr:colOff>114300</xdr:colOff>
      <xdr:row>1385</xdr:row>
      <xdr:rowOff>95250</xdr:rowOff>
    </xdr:to>
    <xdr:sp macro="" textlink="">
      <xdr:nvSpPr>
        <xdr:cNvPr id="1486" name="TextBox 1485"/>
        <xdr:cNvSpPr txBox="1"/>
      </xdr:nvSpPr>
      <xdr:spPr>
        <a:xfrm>
          <a:off x="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1380</xdr:row>
      <xdr:rowOff>0</xdr:rowOff>
    </xdr:from>
    <xdr:to>
      <xdr:col>9</xdr:col>
      <xdr:colOff>114300</xdr:colOff>
      <xdr:row>1385</xdr:row>
      <xdr:rowOff>95250</xdr:rowOff>
    </xdr:to>
    <xdr:sp macro="" textlink="">
      <xdr:nvSpPr>
        <xdr:cNvPr id="1487" name="TextBox 1486"/>
        <xdr:cNvSpPr txBox="1"/>
      </xdr:nvSpPr>
      <xdr:spPr>
        <a:xfrm>
          <a:off x="4572000" y="26289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1380</xdr:row>
      <xdr:rowOff>0</xdr:rowOff>
    </xdr:from>
    <xdr:to>
      <xdr:col>5</xdr:col>
      <xdr:colOff>304800</xdr:colOff>
      <xdr:row>1386</xdr:row>
      <xdr:rowOff>95250</xdr:rowOff>
    </xdr:to>
    <xdr:sp macro="" textlink="">
      <xdr:nvSpPr>
        <xdr:cNvPr id="1488" name="TextBox 1487"/>
        <xdr:cNvSpPr txBox="1"/>
      </xdr:nvSpPr>
      <xdr:spPr>
        <a:xfrm>
          <a:off x="2133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1380</xdr:row>
      <xdr:rowOff>0</xdr:rowOff>
    </xdr:from>
    <xdr:to>
      <xdr:col>12</xdr:col>
      <xdr:colOff>304800</xdr:colOff>
      <xdr:row>1386</xdr:row>
      <xdr:rowOff>95250</xdr:rowOff>
    </xdr:to>
    <xdr:sp macro="" textlink="">
      <xdr:nvSpPr>
        <xdr:cNvPr id="1489" name="TextBox 1488"/>
        <xdr:cNvSpPr txBox="1"/>
      </xdr:nvSpPr>
      <xdr:spPr>
        <a:xfrm>
          <a:off x="6705600" y="26289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1410</xdr:row>
      <xdr:rowOff>0</xdr:rowOff>
    </xdr:from>
    <xdr:to>
      <xdr:col>2</xdr:col>
      <xdr:colOff>114300</xdr:colOff>
      <xdr:row>1415</xdr:row>
      <xdr:rowOff>95250</xdr:rowOff>
    </xdr:to>
    <xdr:sp macro="" textlink="">
      <xdr:nvSpPr>
        <xdr:cNvPr id="1490" name="TextBox 1489"/>
        <xdr:cNvSpPr txBox="1"/>
      </xdr:nvSpPr>
      <xdr:spPr>
        <a:xfrm>
          <a:off x="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1410</xdr:row>
      <xdr:rowOff>0</xdr:rowOff>
    </xdr:from>
    <xdr:to>
      <xdr:col>9</xdr:col>
      <xdr:colOff>114300</xdr:colOff>
      <xdr:row>1415</xdr:row>
      <xdr:rowOff>95250</xdr:rowOff>
    </xdr:to>
    <xdr:sp macro="" textlink="">
      <xdr:nvSpPr>
        <xdr:cNvPr id="1491" name="TextBox 1490"/>
        <xdr:cNvSpPr txBox="1"/>
      </xdr:nvSpPr>
      <xdr:spPr>
        <a:xfrm>
          <a:off x="4572000" y="26860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1410</xdr:row>
      <xdr:rowOff>0</xdr:rowOff>
    </xdr:from>
    <xdr:to>
      <xdr:col>5</xdr:col>
      <xdr:colOff>304800</xdr:colOff>
      <xdr:row>1416</xdr:row>
      <xdr:rowOff>95250</xdr:rowOff>
    </xdr:to>
    <xdr:sp macro="" textlink="">
      <xdr:nvSpPr>
        <xdr:cNvPr id="1492" name="TextBox 1491"/>
        <xdr:cNvSpPr txBox="1"/>
      </xdr:nvSpPr>
      <xdr:spPr>
        <a:xfrm>
          <a:off x="2133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1410</xdr:row>
      <xdr:rowOff>0</xdr:rowOff>
    </xdr:from>
    <xdr:to>
      <xdr:col>12</xdr:col>
      <xdr:colOff>304800</xdr:colOff>
      <xdr:row>1416</xdr:row>
      <xdr:rowOff>95250</xdr:rowOff>
    </xdr:to>
    <xdr:sp macro="" textlink="">
      <xdr:nvSpPr>
        <xdr:cNvPr id="1493" name="TextBox 1492"/>
        <xdr:cNvSpPr txBox="1"/>
      </xdr:nvSpPr>
      <xdr:spPr>
        <a:xfrm>
          <a:off x="6705600" y="26860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1440</xdr:row>
      <xdr:rowOff>0</xdr:rowOff>
    </xdr:from>
    <xdr:to>
      <xdr:col>2</xdr:col>
      <xdr:colOff>114300</xdr:colOff>
      <xdr:row>1445</xdr:row>
      <xdr:rowOff>95250</xdr:rowOff>
    </xdr:to>
    <xdr:sp macro="" textlink="">
      <xdr:nvSpPr>
        <xdr:cNvPr id="1494" name="TextBox 1493"/>
        <xdr:cNvSpPr txBox="1"/>
      </xdr:nvSpPr>
      <xdr:spPr>
        <a:xfrm>
          <a:off x="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1440</xdr:row>
      <xdr:rowOff>0</xdr:rowOff>
    </xdr:from>
    <xdr:to>
      <xdr:col>9</xdr:col>
      <xdr:colOff>114300</xdr:colOff>
      <xdr:row>1445</xdr:row>
      <xdr:rowOff>95250</xdr:rowOff>
    </xdr:to>
    <xdr:sp macro="" textlink="">
      <xdr:nvSpPr>
        <xdr:cNvPr id="1495" name="TextBox 1494"/>
        <xdr:cNvSpPr txBox="1"/>
      </xdr:nvSpPr>
      <xdr:spPr>
        <a:xfrm>
          <a:off x="4572000" y="274320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1440</xdr:row>
      <xdr:rowOff>0</xdr:rowOff>
    </xdr:from>
    <xdr:to>
      <xdr:col>5</xdr:col>
      <xdr:colOff>304800</xdr:colOff>
      <xdr:row>1446</xdr:row>
      <xdr:rowOff>95250</xdr:rowOff>
    </xdr:to>
    <xdr:sp macro="" textlink="">
      <xdr:nvSpPr>
        <xdr:cNvPr id="1496" name="TextBox 1495"/>
        <xdr:cNvSpPr txBox="1"/>
      </xdr:nvSpPr>
      <xdr:spPr>
        <a:xfrm>
          <a:off x="2133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1440</xdr:row>
      <xdr:rowOff>0</xdr:rowOff>
    </xdr:from>
    <xdr:to>
      <xdr:col>12</xdr:col>
      <xdr:colOff>304800</xdr:colOff>
      <xdr:row>1446</xdr:row>
      <xdr:rowOff>95250</xdr:rowOff>
    </xdr:to>
    <xdr:sp macro="" textlink="">
      <xdr:nvSpPr>
        <xdr:cNvPr id="1497" name="TextBox 1496"/>
        <xdr:cNvSpPr txBox="1"/>
      </xdr:nvSpPr>
      <xdr:spPr>
        <a:xfrm>
          <a:off x="6705600" y="274320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0</xdr:col>
      <xdr:colOff>0</xdr:colOff>
      <xdr:row>1470</xdr:row>
      <xdr:rowOff>0</xdr:rowOff>
    </xdr:from>
    <xdr:to>
      <xdr:col>2</xdr:col>
      <xdr:colOff>114300</xdr:colOff>
      <xdr:row>1475</xdr:row>
      <xdr:rowOff>95250</xdr:rowOff>
    </xdr:to>
    <xdr:sp macro="" textlink="">
      <xdr:nvSpPr>
        <xdr:cNvPr id="1498" name="TextBox 1497"/>
        <xdr:cNvSpPr txBox="1"/>
      </xdr:nvSpPr>
      <xdr:spPr>
        <a:xfrm>
          <a:off x="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7</xdr:col>
      <xdr:colOff>0</xdr:colOff>
      <xdr:row>1470</xdr:row>
      <xdr:rowOff>0</xdr:rowOff>
    </xdr:from>
    <xdr:to>
      <xdr:col>9</xdr:col>
      <xdr:colOff>114300</xdr:colOff>
      <xdr:row>1475</xdr:row>
      <xdr:rowOff>95250</xdr:rowOff>
    </xdr:to>
    <xdr:sp macro="" textlink="">
      <xdr:nvSpPr>
        <xdr:cNvPr id="1499" name="TextBox 1498"/>
        <xdr:cNvSpPr txBox="1"/>
      </xdr:nvSpPr>
      <xdr:spPr>
        <a:xfrm>
          <a:off x="4572000" y="280035000"/>
          <a:ext cx="1333500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rgbClr val="000000"/>
              </a:solidFill>
            </a:rPr>
            <a:t>جامعةالبصرة</a:t>
          </a:r>
        </a:p>
        <a:p>
          <a:r>
            <a:rPr lang="en-US" sz="1100">
              <a:solidFill>
                <a:srgbClr val="000000"/>
              </a:solidFill>
            </a:rPr>
            <a:t>كلية التربية الصرفة</a:t>
          </a:r>
        </a:p>
        <a:p>
          <a:r>
            <a:rPr lang="en-US" sz="1100">
              <a:solidFill>
                <a:srgbClr val="000000"/>
              </a:solidFill>
            </a:rPr>
            <a:t>الفيزياء:قسم </a:t>
          </a:r>
        </a:p>
        <a:p>
          <a:r>
            <a:rPr lang="en-US" sz="1100">
              <a:solidFill>
                <a:srgbClr val="000000"/>
              </a:solidFill>
            </a:rPr>
            <a:t>اللجنة الامتحانية</a:t>
          </a:r>
        </a:p>
      </xdr:txBody>
    </xdr:sp>
    <xdr:clientData/>
  </xdr:twoCellAnchor>
  <xdr:twoCellAnchor>
    <xdr:from>
      <xdr:col>3</xdr:col>
      <xdr:colOff>0</xdr:colOff>
      <xdr:row>1470</xdr:row>
      <xdr:rowOff>0</xdr:rowOff>
    </xdr:from>
    <xdr:to>
      <xdr:col>5</xdr:col>
      <xdr:colOff>304800</xdr:colOff>
      <xdr:row>1476</xdr:row>
      <xdr:rowOff>95250</xdr:rowOff>
    </xdr:to>
    <xdr:sp macro="" textlink="">
      <xdr:nvSpPr>
        <xdr:cNvPr id="1500" name="TextBox 1499"/>
        <xdr:cNvSpPr txBox="1"/>
      </xdr:nvSpPr>
      <xdr:spPr>
        <a:xfrm>
          <a:off x="2133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  <xdr:twoCellAnchor>
    <xdr:from>
      <xdr:col>10</xdr:col>
      <xdr:colOff>0</xdr:colOff>
      <xdr:row>1470</xdr:row>
      <xdr:rowOff>0</xdr:rowOff>
    </xdr:from>
    <xdr:to>
      <xdr:col>12</xdr:col>
      <xdr:colOff>304800</xdr:colOff>
      <xdr:row>1476</xdr:row>
      <xdr:rowOff>95250</xdr:rowOff>
    </xdr:to>
    <xdr:sp macro="" textlink="">
      <xdr:nvSpPr>
        <xdr:cNvPr id="1501" name="TextBox 1500"/>
        <xdr:cNvSpPr txBox="1"/>
      </xdr:nvSpPr>
      <xdr:spPr>
        <a:xfrm>
          <a:off x="6705600" y="280035000"/>
          <a:ext cx="1524000" cy="1238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00"/>
              </a:solidFill>
            </a:rPr>
            <a:t>نتائج الامتحانات النهائية</a:t>
          </a:r>
        </a:p>
        <a:p>
          <a:r>
            <a:rPr lang="en-US" sz="1100">
              <a:solidFill>
                <a:srgbClr val="000000"/>
              </a:solidFill>
            </a:rPr>
            <a:t>2024-2025:العام الدراسي</a:t>
          </a:r>
        </a:p>
        <a:p>
          <a:r>
            <a:rPr lang="en-US" sz="1100">
              <a:solidFill>
                <a:srgbClr val="000000"/>
              </a:solidFill>
            </a:rPr>
            <a:t>الاول:الدور</a:t>
          </a:r>
        </a:p>
        <a:p>
          <a:r>
            <a:rPr lang="en-US" sz="1100">
              <a:solidFill>
                <a:srgbClr val="000000"/>
              </a:solidFill>
            </a:rPr>
            <a:t>الثانية:المرحلة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245"/>
  <sheetViews>
    <sheetView rightToLeft="1" tabSelected="1" workbookViewId="0"/>
  </sheetViews>
  <sheetFormatPr defaultRowHeight="15" outlineLevelRow="1"/>
  <cols>
    <col min="1" max="34" width="3.7109375" customWidth="1"/>
    <col min="2" max="2" width="5.7109375" customWidth="1"/>
    <col min="3" max="3" width="30.7109375" customWidth="1"/>
    <col min="27" max="31" width="3.7109375" customWidth="1"/>
    <col min="28" max="28" width="6.7109375" customWidth="1"/>
    <col min="32" max="32" width="30.7109375" customWidth="1"/>
  </cols>
  <sheetData>
    <row r="1" spans="2:32" outlineLevel="1">
      <c r="C1" s="1" t="s">
        <v>1</v>
      </c>
      <c r="G1" s="2" t="s">
        <v>0</v>
      </c>
      <c r="H1" s="2"/>
      <c r="I1" s="2"/>
      <c r="J1" s="2"/>
      <c r="K1" s="2"/>
      <c r="L1" s="2"/>
      <c r="M1" s="2"/>
      <c r="N1" s="2"/>
      <c r="AF1" s="1" t="s">
        <v>3</v>
      </c>
    </row>
    <row r="2" spans="2:32">
      <c r="C2" s="1" t="s">
        <v>2</v>
      </c>
      <c r="AF2" s="1" t="s">
        <v>4</v>
      </c>
    </row>
    <row r="3" spans="2:32">
      <c r="AF3" s="1" t="s">
        <v>5</v>
      </c>
    </row>
    <row r="4" spans="2:32">
      <c r="G4" s="1" t="s">
        <v>6</v>
      </c>
    </row>
    <row r="5" spans="2:32">
      <c r="B5" s="3" t="s">
        <v>8</v>
      </c>
      <c r="C5" s="4" t="s">
        <v>7</v>
      </c>
      <c r="D5" s="3" t="s">
        <v>10</v>
      </c>
      <c r="E5" s="5">
        <v>7</v>
      </c>
      <c r="F5" s="5"/>
      <c r="G5" s="5">
        <v>2</v>
      </c>
      <c r="H5" s="5"/>
      <c r="I5" s="5">
        <v>6</v>
      </c>
      <c r="J5" s="5"/>
      <c r="K5" s="5">
        <v>7</v>
      </c>
      <c r="L5" s="5"/>
      <c r="M5" s="5">
        <v>4</v>
      </c>
      <c r="N5" s="5"/>
      <c r="O5" s="5">
        <v>2</v>
      </c>
      <c r="P5" s="5"/>
      <c r="Q5" s="5">
        <v>4</v>
      </c>
      <c r="R5" s="5"/>
      <c r="S5" s="5">
        <v>4</v>
      </c>
      <c r="T5" s="5"/>
      <c r="U5" s="5">
        <v>2</v>
      </c>
      <c r="V5" s="5"/>
      <c r="W5" s="5">
        <v>0</v>
      </c>
      <c r="X5" s="5"/>
      <c r="Y5" s="5">
        <v>3</v>
      </c>
      <c r="Z5" s="5"/>
      <c r="AA5" s="3" t="s">
        <v>23</v>
      </c>
      <c r="AB5" s="3" t="s">
        <v>24</v>
      </c>
      <c r="AC5" s="3" t="s">
        <v>25</v>
      </c>
      <c r="AD5" s="3" t="s">
        <v>26</v>
      </c>
      <c r="AE5" s="3" t="s">
        <v>27</v>
      </c>
      <c r="AF5" s="5" t="s">
        <v>28</v>
      </c>
    </row>
    <row r="6" spans="2:32" ht="40" customHeight="1">
      <c r="B6" s="3"/>
      <c r="C6" s="6" t="s">
        <v>11</v>
      </c>
      <c r="D6" s="3"/>
      <c r="E6" s="5" t="s">
        <v>13</v>
      </c>
      <c r="F6" s="5"/>
      <c r="G6" s="5" t="s">
        <v>14</v>
      </c>
      <c r="H6" s="5"/>
      <c r="I6" s="5" t="s">
        <v>15</v>
      </c>
      <c r="J6" s="5"/>
      <c r="K6" s="5" t="s">
        <v>16</v>
      </c>
      <c r="L6" s="5"/>
      <c r="M6" s="5" t="s">
        <v>17</v>
      </c>
      <c r="N6" s="5"/>
      <c r="O6" s="5" t="s">
        <v>18</v>
      </c>
      <c r="P6" s="5"/>
      <c r="Q6" s="5" t="s">
        <v>19</v>
      </c>
      <c r="R6" s="5"/>
      <c r="S6" s="5" t="s">
        <v>20</v>
      </c>
      <c r="T6" s="5"/>
      <c r="U6" s="5" t="s">
        <v>21</v>
      </c>
      <c r="V6" s="5"/>
      <c r="W6" s="5" t="s">
        <v>22</v>
      </c>
      <c r="X6" s="5"/>
      <c r="Y6" s="5" t="s">
        <v>21</v>
      </c>
      <c r="Z6" s="5"/>
      <c r="AA6" s="3"/>
      <c r="AB6" s="3"/>
      <c r="AC6" s="3"/>
      <c r="AD6" s="3"/>
      <c r="AE6" s="3"/>
      <c r="AF6" s="5"/>
    </row>
    <row r="7" spans="2:32">
      <c r="B7" s="7">
        <v>1</v>
      </c>
      <c r="C7" s="7" t="s">
        <v>53</v>
      </c>
      <c r="D7" t="s">
        <v>54</v>
      </c>
      <c r="F7">
        <f>IF(E7&gt;=90,"م",IF(E7&gt;=80,"جـ جـ",IF(E7&gt;=70,"جـ",IF(E7&gt;=60,"ط",IF(E7&gt;=50,"ل","ر")))))</f>
        <v>0</v>
      </c>
      <c r="H7">
        <f>IF(G7&gt;=90,"م",IF(G7&gt;=80,"جـ جـ",IF(G7&gt;=70,"جـ",IF(G7&gt;=60,"ط",IF(G7&gt;=50,"ل","ر")))))</f>
        <v>0</v>
      </c>
      <c r="J7">
        <f>IF(I7&gt;=90,"م",IF(I7&gt;=80,"جـ جـ",IF(I7&gt;=70,"جـ",IF(I7&gt;=60,"ط",IF(I7&gt;=50,"ل","ر")))))</f>
        <v>0</v>
      </c>
      <c r="L7">
        <f>IF(K7&gt;=90,"م",IF(K7&gt;=80,"جـ جـ",IF(K7&gt;=70,"جـ",IF(K7&gt;=60,"ط",IF(K7&gt;=50,"ل","ر")))))</f>
        <v>0</v>
      </c>
      <c r="N7">
        <f>IF(M7&gt;=90,"م",IF(M7&gt;=80,"جـ جـ",IF(M7&gt;=70,"جـ",IF(M7&gt;=60,"ط",IF(M7&gt;=50,"ل","ر")))))</f>
        <v>0</v>
      </c>
      <c r="P7">
        <f>IF(O7&gt;=90,"م",IF(O7&gt;=80,"جـ جـ",IF(O7&gt;=70,"جـ",IF(O7&gt;=60,"ط",IF(O7&gt;=50,"ل","ر")))))</f>
        <v>0</v>
      </c>
      <c r="R7">
        <f>IF(Q7&gt;=90,"م",IF(Q7&gt;=80,"جـ جـ",IF(Q7&gt;=70,"جـ",IF(Q7&gt;=60,"ط",IF(Q7&gt;=50,"ل","ر")))))</f>
        <v>0</v>
      </c>
      <c r="T7">
        <f>IF(S7&gt;=90,"م",IF(S7&gt;=80,"جـ جـ",IF(S7&gt;=70,"جـ",IF(S7&gt;=60,"ط",IF(S7&gt;=50,"ل","ر")))))</f>
        <v>0</v>
      </c>
      <c r="V7">
        <f>IF(U7&gt;=90,"م",IF(U7&gt;=80,"جـ جـ",IF(U7&gt;=70,"جـ",IF(U7&gt;=60,"ط",IF(U7&gt;=50,"ل","ر")))))</f>
        <v>0</v>
      </c>
      <c r="X7">
        <f>IF(W7&gt;=90,"م",IF(W7&gt;=80,"جـ جـ",IF(W7&gt;=70,"جـ",IF(W7&gt;=60,"ط",IF(W7&gt;=50,"ل","ر")))))</f>
        <v>0</v>
      </c>
      <c r="Z7">
        <f>IF(Y7&gt;=90,"م",IF(Y7&gt;=80,"جـ جـ",IF(Y7&gt;=70,"جـ",IF(Y7&gt;=60,"ط",IF(Y7&gt;=50,"ل","ر")))))</f>
        <v>0</v>
      </c>
      <c r="AA7" s="8">
        <f>IF(AND(E7&gt;=50, G7&gt;=50, I7&gt;=50, K7&gt;=50, M7&gt;=50, O7&gt;=50, Q7&gt;=50, S7&gt;=50, U7&gt;=50, W7&gt;=50, Y7&gt;=50), "ناجح", "راسب")</f>
        <v>0</v>
      </c>
      <c r="AB7" s="8">
        <f>(E7*7 + G7*2 + I7*6 + K7*7 + M7*4 + O7*2 + Q7*4 + S7*4 + U7*2 + W7*0) / (7 + 2 + 6 + 7 + 4 + 2 + 4 + 4 + 2 + 0)</f>
        <v>0</v>
      </c>
      <c r="AC7" s="8">
        <f>IF(AB7&gt;=90,"امتياز",IF(AB7&gt;=80,"جيد جدا",IF(AB7&gt;=70,"جيد",IF(AB7&gt;=60,"متوسط",IF(AB7&gt;=50,"مقبول","راسب")))))</f>
        <v>0</v>
      </c>
      <c r="AD7" s="9"/>
      <c r="AE7" s="9"/>
      <c r="AF7" s="9"/>
    </row>
    <row r="8" spans="2:32">
      <c r="B8" s="9"/>
      <c r="C8" s="9"/>
      <c r="D8" s="9"/>
      <c r="AA8" s="9"/>
      <c r="AB8" s="9"/>
      <c r="AC8" s="9"/>
      <c r="AD8" s="9"/>
      <c r="AE8" s="9"/>
      <c r="AF8" s="9"/>
    </row>
    <row r="9" spans="2:32">
      <c r="B9" s="9"/>
      <c r="C9" s="9"/>
      <c r="D9" s="9"/>
      <c r="AA9" s="9"/>
      <c r="AB9" s="9"/>
      <c r="AC9" s="9"/>
      <c r="AD9" s="9"/>
      <c r="AE9" s="9"/>
      <c r="AF9" s="9"/>
    </row>
    <row r="10" spans="2:32">
      <c r="B10" s="7">
        <v>2</v>
      </c>
      <c r="C10" s="7" t="s">
        <v>55</v>
      </c>
      <c r="D10" t="s">
        <v>54</v>
      </c>
      <c r="F10">
        <f>IF(E10&gt;=90,"م",IF(E10&gt;=80,"جـ جـ",IF(E10&gt;=70,"جـ",IF(E10&gt;=60,"ط",IF(E10&gt;=50,"ل","ر")))))</f>
        <v>0</v>
      </c>
      <c r="H10">
        <f>IF(G10&gt;=90,"م",IF(G10&gt;=80,"جـ جـ",IF(G10&gt;=70,"جـ",IF(G10&gt;=60,"ط",IF(G10&gt;=50,"ل","ر")))))</f>
        <v>0</v>
      </c>
      <c r="J10">
        <f>IF(I10&gt;=90,"م",IF(I10&gt;=80,"جـ جـ",IF(I10&gt;=70,"جـ",IF(I10&gt;=60,"ط",IF(I10&gt;=50,"ل","ر")))))</f>
        <v>0</v>
      </c>
      <c r="L10">
        <f>IF(K10&gt;=90,"م",IF(K10&gt;=80,"جـ جـ",IF(K10&gt;=70,"جـ",IF(K10&gt;=60,"ط",IF(K10&gt;=50,"ل","ر")))))</f>
        <v>0</v>
      </c>
      <c r="N10">
        <f>IF(M10&gt;=90,"م",IF(M10&gt;=80,"جـ جـ",IF(M10&gt;=70,"جـ",IF(M10&gt;=60,"ط",IF(M10&gt;=50,"ل","ر")))))</f>
        <v>0</v>
      </c>
      <c r="P10">
        <f>IF(O10&gt;=90,"م",IF(O10&gt;=80,"جـ جـ",IF(O10&gt;=70,"جـ",IF(O10&gt;=60,"ط",IF(O10&gt;=50,"ل","ر")))))</f>
        <v>0</v>
      </c>
      <c r="R10">
        <f>IF(Q10&gt;=90,"م",IF(Q10&gt;=80,"جـ جـ",IF(Q10&gt;=70,"جـ",IF(Q10&gt;=60,"ط",IF(Q10&gt;=50,"ل","ر")))))</f>
        <v>0</v>
      </c>
      <c r="T10">
        <f>IF(S10&gt;=90,"م",IF(S10&gt;=80,"جـ جـ",IF(S10&gt;=70,"جـ",IF(S10&gt;=60,"ط",IF(S10&gt;=50,"ل","ر")))))</f>
        <v>0</v>
      </c>
      <c r="V10">
        <f>IF(U10&gt;=90,"م",IF(U10&gt;=80,"جـ جـ",IF(U10&gt;=70,"جـ",IF(U10&gt;=60,"ط",IF(U10&gt;=50,"ل","ر")))))</f>
        <v>0</v>
      </c>
      <c r="X10">
        <f>IF(W10&gt;=90,"م",IF(W10&gt;=80,"جـ جـ",IF(W10&gt;=70,"جـ",IF(W10&gt;=60,"ط",IF(W10&gt;=50,"ل","ر")))))</f>
        <v>0</v>
      </c>
      <c r="Z10">
        <f>IF(Y10&gt;=90,"م",IF(Y10&gt;=80,"جـ جـ",IF(Y10&gt;=70,"جـ",IF(Y10&gt;=60,"ط",IF(Y10&gt;=50,"ل","ر")))))</f>
        <v>0</v>
      </c>
      <c r="AA10" s="8">
        <f>IF(AND(E10&gt;=50, G10&gt;=50, I10&gt;=50, K10&gt;=50, M10&gt;=50, O10&gt;=50, Q10&gt;=50, S10&gt;=50, U10&gt;=50, W10&gt;=50, Y10&gt;=50), "ناجح", "راسب")</f>
        <v>0</v>
      </c>
      <c r="AB10" s="8">
        <f>(E10*7 + G10*2 + I10*6 + K10*7 + M10*4 + O10*2 + Q10*4 + S10*4 + U10*2 + W10*0) / (7 + 2 + 6 + 7 + 4 + 2 + 4 + 4 + 2 + 0)</f>
        <v>0</v>
      </c>
      <c r="AC10" s="8">
        <f>IF(AB10&gt;=90,"امتياز",IF(AB10&gt;=80,"جيد جدا",IF(AB10&gt;=70,"جيد",IF(AB10&gt;=60,"متوسط",IF(AB10&gt;=50,"مقبول","راسب")))))</f>
        <v>0</v>
      </c>
      <c r="AD10" s="9"/>
      <c r="AE10" s="9"/>
      <c r="AF10" s="9"/>
    </row>
    <row r="11" spans="2:32">
      <c r="B11" s="9"/>
      <c r="C11" s="9"/>
      <c r="D11" s="9"/>
      <c r="AA11" s="9"/>
      <c r="AB11" s="9"/>
      <c r="AC11" s="9"/>
      <c r="AD11" s="9"/>
      <c r="AE11" s="9"/>
      <c r="AF11" s="9"/>
    </row>
    <row r="12" spans="2:32">
      <c r="B12" s="9"/>
      <c r="C12" s="9"/>
      <c r="D12" s="9"/>
      <c r="AA12" s="9"/>
      <c r="AB12" s="9"/>
      <c r="AC12" s="9"/>
      <c r="AD12" s="9"/>
      <c r="AE12" s="9"/>
      <c r="AF12" s="9"/>
    </row>
    <row r="13" spans="2:32">
      <c r="B13" s="7">
        <v>3</v>
      </c>
      <c r="C13" s="7" t="s">
        <v>56</v>
      </c>
      <c r="D13" t="s">
        <v>54</v>
      </c>
      <c r="F13">
        <f>IF(E13&gt;=90,"م",IF(E13&gt;=80,"جـ جـ",IF(E13&gt;=70,"جـ",IF(E13&gt;=60,"ط",IF(E13&gt;=50,"ل","ر")))))</f>
        <v>0</v>
      </c>
      <c r="H13">
        <f>IF(G13&gt;=90,"م",IF(G13&gt;=80,"جـ جـ",IF(G13&gt;=70,"جـ",IF(G13&gt;=60,"ط",IF(G13&gt;=50,"ل","ر")))))</f>
        <v>0</v>
      </c>
      <c r="J13">
        <f>IF(I13&gt;=90,"م",IF(I13&gt;=80,"جـ جـ",IF(I13&gt;=70,"جـ",IF(I13&gt;=60,"ط",IF(I13&gt;=50,"ل","ر")))))</f>
        <v>0</v>
      </c>
      <c r="L13">
        <f>IF(K13&gt;=90,"م",IF(K13&gt;=80,"جـ جـ",IF(K13&gt;=70,"جـ",IF(K13&gt;=60,"ط",IF(K13&gt;=50,"ل","ر")))))</f>
        <v>0</v>
      </c>
      <c r="N13">
        <f>IF(M13&gt;=90,"م",IF(M13&gt;=80,"جـ جـ",IF(M13&gt;=70,"جـ",IF(M13&gt;=60,"ط",IF(M13&gt;=50,"ل","ر")))))</f>
        <v>0</v>
      </c>
      <c r="P13">
        <f>IF(O13&gt;=90,"م",IF(O13&gt;=80,"جـ جـ",IF(O13&gt;=70,"جـ",IF(O13&gt;=60,"ط",IF(O13&gt;=50,"ل","ر")))))</f>
        <v>0</v>
      </c>
      <c r="R13">
        <f>IF(Q13&gt;=90,"م",IF(Q13&gt;=80,"جـ جـ",IF(Q13&gt;=70,"جـ",IF(Q13&gt;=60,"ط",IF(Q13&gt;=50,"ل","ر")))))</f>
        <v>0</v>
      </c>
      <c r="T13">
        <f>IF(S13&gt;=90,"م",IF(S13&gt;=80,"جـ جـ",IF(S13&gt;=70,"جـ",IF(S13&gt;=60,"ط",IF(S13&gt;=50,"ل","ر")))))</f>
        <v>0</v>
      </c>
      <c r="V13">
        <f>IF(U13&gt;=90,"م",IF(U13&gt;=80,"جـ جـ",IF(U13&gt;=70,"جـ",IF(U13&gt;=60,"ط",IF(U13&gt;=50,"ل","ر")))))</f>
        <v>0</v>
      </c>
      <c r="X13">
        <f>IF(W13&gt;=90,"م",IF(W13&gt;=80,"جـ جـ",IF(W13&gt;=70,"جـ",IF(W13&gt;=60,"ط",IF(W13&gt;=50,"ل","ر")))))</f>
        <v>0</v>
      </c>
      <c r="Z13">
        <f>IF(Y13&gt;=90,"م",IF(Y13&gt;=80,"جـ جـ",IF(Y13&gt;=70,"جـ",IF(Y13&gt;=60,"ط",IF(Y13&gt;=50,"ل","ر")))))</f>
        <v>0</v>
      </c>
      <c r="AA13" s="8">
        <f>IF(AND(E13&gt;=50, G13&gt;=50, I13&gt;=50, K13&gt;=50, M13&gt;=50, O13&gt;=50, Q13&gt;=50, S13&gt;=50, U13&gt;=50, W13&gt;=50, Y13&gt;=50), "ناجح", "راسب")</f>
        <v>0</v>
      </c>
      <c r="AB13" s="8">
        <f>(E13*7 + G13*2 + I13*6 + K13*7 + M13*4 + O13*2 + Q13*4 + S13*4 + U13*2 + W13*0) / (7 + 2 + 6 + 7 + 4 + 2 + 4 + 4 + 2 + 0)</f>
        <v>0</v>
      </c>
      <c r="AC13" s="8">
        <f>IF(AB13&gt;=90,"امتياز",IF(AB13&gt;=80,"جيد جدا",IF(AB13&gt;=70,"جيد",IF(AB13&gt;=60,"متوسط",IF(AB13&gt;=50,"مقبول","راسب")))))</f>
        <v>0</v>
      </c>
      <c r="AD13" s="9"/>
      <c r="AE13" s="9"/>
      <c r="AF13" s="9"/>
    </row>
    <row r="14" spans="2:32">
      <c r="B14" s="9"/>
      <c r="C14" s="9"/>
      <c r="D14" s="9"/>
      <c r="AA14" s="9"/>
      <c r="AB14" s="9"/>
      <c r="AC14" s="9"/>
      <c r="AD14" s="9"/>
      <c r="AE14" s="9"/>
      <c r="AF14" s="9"/>
    </row>
    <row r="15" spans="2:32">
      <c r="B15" s="9"/>
      <c r="C15" s="9"/>
      <c r="D15" s="9"/>
      <c r="AA15" s="9"/>
      <c r="AB15" s="9"/>
      <c r="AC15" s="9"/>
      <c r="AD15" s="9"/>
      <c r="AE15" s="9"/>
      <c r="AF15" s="9"/>
    </row>
    <row r="16" spans="2:32">
      <c r="B16" s="7">
        <v>4</v>
      </c>
      <c r="C16" s="7" t="s">
        <v>57</v>
      </c>
      <c r="D16" t="s">
        <v>54</v>
      </c>
      <c r="F16">
        <f>IF(E16&gt;=90,"م",IF(E16&gt;=80,"جـ جـ",IF(E16&gt;=70,"جـ",IF(E16&gt;=60,"ط",IF(E16&gt;=50,"ل","ر")))))</f>
        <v>0</v>
      </c>
      <c r="H16">
        <f>IF(G16&gt;=90,"م",IF(G16&gt;=80,"جـ جـ",IF(G16&gt;=70,"جـ",IF(G16&gt;=60,"ط",IF(G16&gt;=50,"ل","ر")))))</f>
        <v>0</v>
      </c>
      <c r="J16">
        <f>IF(I16&gt;=90,"م",IF(I16&gt;=80,"جـ جـ",IF(I16&gt;=70,"جـ",IF(I16&gt;=60,"ط",IF(I16&gt;=50,"ل","ر")))))</f>
        <v>0</v>
      </c>
      <c r="L16">
        <f>IF(K16&gt;=90,"م",IF(K16&gt;=80,"جـ جـ",IF(K16&gt;=70,"جـ",IF(K16&gt;=60,"ط",IF(K16&gt;=50,"ل","ر")))))</f>
        <v>0</v>
      </c>
      <c r="N16">
        <f>IF(M16&gt;=90,"م",IF(M16&gt;=80,"جـ جـ",IF(M16&gt;=70,"جـ",IF(M16&gt;=60,"ط",IF(M16&gt;=50,"ل","ر")))))</f>
        <v>0</v>
      </c>
      <c r="P16">
        <f>IF(O16&gt;=90,"م",IF(O16&gt;=80,"جـ جـ",IF(O16&gt;=70,"جـ",IF(O16&gt;=60,"ط",IF(O16&gt;=50,"ل","ر")))))</f>
        <v>0</v>
      </c>
      <c r="R16">
        <f>IF(Q16&gt;=90,"م",IF(Q16&gt;=80,"جـ جـ",IF(Q16&gt;=70,"جـ",IF(Q16&gt;=60,"ط",IF(Q16&gt;=50,"ل","ر")))))</f>
        <v>0</v>
      </c>
      <c r="T16">
        <f>IF(S16&gt;=90,"م",IF(S16&gt;=80,"جـ جـ",IF(S16&gt;=70,"جـ",IF(S16&gt;=60,"ط",IF(S16&gt;=50,"ل","ر")))))</f>
        <v>0</v>
      </c>
      <c r="V16">
        <f>IF(U16&gt;=90,"م",IF(U16&gt;=80,"جـ جـ",IF(U16&gt;=70,"جـ",IF(U16&gt;=60,"ط",IF(U16&gt;=50,"ل","ر")))))</f>
        <v>0</v>
      </c>
      <c r="X16">
        <f>IF(W16&gt;=90,"م",IF(W16&gt;=80,"جـ جـ",IF(W16&gt;=70,"جـ",IF(W16&gt;=60,"ط",IF(W16&gt;=50,"ل","ر")))))</f>
        <v>0</v>
      </c>
      <c r="Z16">
        <f>IF(Y16&gt;=90,"م",IF(Y16&gt;=80,"جـ جـ",IF(Y16&gt;=70,"جـ",IF(Y16&gt;=60,"ط",IF(Y16&gt;=50,"ل","ر")))))</f>
        <v>0</v>
      </c>
      <c r="AA16" s="8">
        <f>IF(AND(E16&gt;=50, G16&gt;=50, I16&gt;=50, K16&gt;=50, M16&gt;=50, O16&gt;=50, Q16&gt;=50, S16&gt;=50, U16&gt;=50, W16&gt;=50, Y16&gt;=50), "ناجح", "راسب")</f>
        <v>0</v>
      </c>
      <c r="AB16" s="8">
        <f>(E16*7 + G16*2 + I16*6 + K16*7 + M16*4 + O16*2 + Q16*4 + S16*4 + U16*2 + W16*0) / (7 + 2 + 6 + 7 + 4 + 2 + 4 + 4 + 2 + 0)</f>
        <v>0</v>
      </c>
      <c r="AC16" s="8">
        <f>IF(AB16&gt;=90,"امتياز",IF(AB16&gt;=80,"جيد جدا",IF(AB16&gt;=70,"جيد",IF(AB16&gt;=60,"متوسط",IF(AB16&gt;=50,"مقبول","راسب")))))</f>
        <v>0</v>
      </c>
      <c r="AD16" s="9"/>
      <c r="AE16" s="9"/>
      <c r="AF16" s="9"/>
    </row>
    <row r="17" spans="2:32">
      <c r="B17" s="9"/>
      <c r="C17" s="9"/>
      <c r="D17" s="9"/>
      <c r="AA17" s="9"/>
      <c r="AB17" s="9"/>
      <c r="AC17" s="9"/>
      <c r="AD17" s="9"/>
      <c r="AE17" s="9"/>
      <c r="AF17" s="9"/>
    </row>
    <row r="18" spans="2:32">
      <c r="B18" s="9"/>
      <c r="C18" s="9"/>
      <c r="D18" s="9"/>
      <c r="AA18" s="9"/>
      <c r="AB18" s="9"/>
      <c r="AC18" s="9"/>
      <c r="AD18" s="9"/>
      <c r="AE18" s="9"/>
      <c r="AF18" s="9"/>
    </row>
    <row r="19" spans="2:32">
      <c r="B19" s="7">
        <v>5</v>
      </c>
      <c r="C19" s="7" t="s">
        <v>58</v>
      </c>
      <c r="D19" t="s">
        <v>54</v>
      </c>
      <c r="F19">
        <f>IF(E19&gt;=90,"م",IF(E19&gt;=80,"جـ جـ",IF(E19&gt;=70,"جـ",IF(E19&gt;=60,"ط",IF(E19&gt;=50,"ل","ر")))))</f>
        <v>0</v>
      </c>
      <c r="H19">
        <f>IF(G19&gt;=90,"م",IF(G19&gt;=80,"جـ جـ",IF(G19&gt;=70,"جـ",IF(G19&gt;=60,"ط",IF(G19&gt;=50,"ل","ر")))))</f>
        <v>0</v>
      </c>
      <c r="J19">
        <f>IF(I19&gt;=90,"م",IF(I19&gt;=80,"جـ جـ",IF(I19&gt;=70,"جـ",IF(I19&gt;=60,"ط",IF(I19&gt;=50,"ل","ر")))))</f>
        <v>0</v>
      </c>
      <c r="L19">
        <f>IF(K19&gt;=90,"م",IF(K19&gt;=80,"جـ جـ",IF(K19&gt;=70,"جـ",IF(K19&gt;=60,"ط",IF(K19&gt;=50,"ل","ر")))))</f>
        <v>0</v>
      </c>
      <c r="N19">
        <f>IF(M19&gt;=90,"م",IF(M19&gt;=80,"جـ جـ",IF(M19&gt;=70,"جـ",IF(M19&gt;=60,"ط",IF(M19&gt;=50,"ل","ر")))))</f>
        <v>0</v>
      </c>
      <c r="P19">
        <f>IF(O19&gt;=90,"م",IF(O19&gt;=80,"جـ جـ",IF(O19&gt;=70,"جـ",IF(O19&gt;=60,"ط",IF(O19&gt;=50,"ل","ر")))))</f>
        <v>0</v>
      </c>
      <c r="R19">
        <f>IF(Q19&gt;=90,"م",IF(Q19&gt;=80,"جـ جـ",IF(Q19&gt;=70,"جـ",IF(Q19&gt;=60,"ط",IF(Q19&gt;=50,"ل","ر")))))</f>
        <v>0</v>
      </c>
      <c r="T19">
        <f>IF(S19&gt;=90,"م",IF(S19&gt;=80,"جـ جـ",IF(S19&gt;=70,"جـ",IF(S19&gt;=60,"ط",IF(S19&gt;=50,"ل","ر")))))</f>
        <v>0</v>
      </c>
      <c r="V19">
        <f>IF(U19&gt;=90,"م",IF(U19&gt;=80,"جـ جـ",IF(U19&gt;=70,"جـ",IF(U19&gt;=60,"ط",IF(U19&gt;=50,"ل","ر")))))</f>
        <v>0</v>
      </c>
      <c r="X19">
        <f>IF(W19&gt;=90,"م",IF(W19&gt;=80,"جـ جـ",IF(W19&gt;=70,"جـ",IF(W19&gt;=60,"ط",IF(W19&gt;=50,"ل","ر")))))</f>
        <v>0</v>
      </c>
      <c r="Z19">
        <f>IF(Y19&gt;=90,"م",IF(Y19&gt;=80,"جـ جـ",IF(Y19&gt;=70,"جـ",IF(Y19&gt;=60,"ط",IF(Y19&gt;=50,"ل","ر")))))</f>
        <v>0</v>
      </c>
      <c r="AA19" s="8">
        <f>IF(AND(E19&gt;=50, G19&gt;=50, I19&gt;=50, K19&gt;=50, M19&gt;=50, O19&gt;=50, Q19&gt;=50, S19&gt;=50, U19&gt;=50, W19&gt;=50, Y19&gt;=50), "ناجح", "راسب")</f>
        <v>0</v>
      </c>
      <c r="AB19" s="8">
        <f>(E19*7 + G19*2 + I19*6 + K19*7 + M19*4 + O19*2 + Q19*4 + S19*4 + U19*2 + W19*0) / (7 + 2 + 6 + 7 + 4 + 2 + 4 + 4 + 2 + 0)</f>
        <v>0</v>
      </c>
      <c r="AC19" s="8">
        <f>IF(AB19&gt;=90,"امتياز",IF(AB19&gt;=80,"جيد جدا",IF(AB19&gt;=70,"جيد",IF(AB19&gt;=60,"متوسط",IF(AB19&gt;=50,"مقبول","راسب")))))</f>
        <v>0</v>
      </c>
      <c r="AD19" s="9"/>
      <c r="AE19" s="9"/>
      <c r="AF19" s="9"/>
    </row>
    <row r="20" spans="2:32">
      <c r="B20" s="9"/>
      <c r="C20" s="9"/>
      <c r="D20" s="9"/>
      <c r="AA20" s="9"/>
      <c r="AB20" s="9"/>
      <c r="AC20" s="9"/>
      <c r="AD20" s="9"/>
      <c r="AE20" s="9"/>
      <c r="AF20" s="9"/>
    </row>
    <row r="21" spans="2:32">
      <c r="B21" s="9"/>
      <c r="C21" s="9"/>
      <c r="D21" s="9"/>
      <c r="AA21" s="9"/>
      <c r="AB21" s="9"/>
      <c r="AC21" s="9"/>
      <c r="AD21" s="9"/>
      <c r="AE21" s="9"/>
      <c r="AF21" s="9"/>
    </row>
    <row r="22" spans="2:32">
      <c r="B22" s="7">
        <v>6</v>
      </c>
      <c r="C22" s="7" t="s">
        <v>59</v>
      </c>
      <c r="D22" t="s">
        <v>54</v>
      </c>
      <c r="F22">
        <f>IF(E22&gt;=90,"م",IF(E22&gt;=80,"جـ جـ",IF(E22&gt;=70,"جـ",IF(E22&gt;=60,"ط",IF(E22&gt;=50,"ل","ر")))))</f>
        <v>0</v>
      </c>
      <c r="H22">
        <f>IF(G22&gt;=90,"م",IF(G22&gt;=80,"جـ جـ",IF(G22&gt;=70,"جـ",IF(G22&gt;=60,"ط",IF(G22&gt;=50,"ل","ر")))))</f>
        <v>0</v>
      </c>
      <c r="J22">
        <f>IF(I22&gt;=90,"م",IF(I22&gt;=80,"جـ جـ",IF(I22&gt;=70,"جـ",IF(I22&gt;=60,"ط",IF(I22&gt;=50,"ل","ر")))))</f>
        <v>0</v>
      </c>
      <c r="L22">
        <f>IF(K22&gt;=90,"م",IF(K22&gt;=80,"جـ جـ",IF(K22&gt;=70,"جـ",IF(K22&gt;=60,"ط",IF(K22&gt;=50,"ل","ر")))))</f>
        <v>0</v>
      </c>
      <c r="N22">
        <f>IF(M22&gt;=90,"م",IF(M22&gt;=80,"جـ جـ",IF(M22&gt;=70,"جـ",IF(M22&gt;=60,"ط",IF(M22&gt;=50,"ل","ر")))))</f>
        <v>0</v>
      </c>
      <c r="P22">
        <f>IF(O22&gt;=90,"م",IF(O22&gt;=80,"جـ جـ",IF(O22&gt;=70,"جـ",IF(O22&gt;=60,"ط",IF(O22&gt;=50,"ل","ر")))))</f>
        <v>0</v>
      </c>
      <c r="R22">
        <f>IF(Q22&gt;=90,"م",IF(Q22&gt;=80,"جـ جـ",IF(Q22&gt;=70,"جـ",IF(Q22&gt;=60,"ط",IF(Q22&gt;=50,"ل","ر")))))</f>
        <v>0</v>
      </c>
      <c r="T22">
        <f>IF(S22&gt;=90,"م",IF(S22&gt;=80,"جـ جـ",IF(S22&gt;=70,"جـ",IF(S22&gt;=60,"ط",IF(S22&gt;=50,"ل","ر")))))</f>
        <v>0</v>
      </c>
      <c r="V22">
        <f>IF(U22&gt;=90,"م",IF(U22&gt;=80,"جـ جـ",IF(U22&gt;=70,"جـ",IF(U22&gt;=60,"ط",IF(U22&gt;=50,"ل","ر")))))</f>
        <v>0</v>
      </c>
      <c r="X22">
        <f>IF(W22&gt;=90,"م",IF(W22&gt;=80,"جـ جـ",IF(W22&gt;=70,"جـ",IF(W22&gt;=60,"ط",IF(W22&gt;=50,"ل","ر")))))</f>
        <v>0</v>
      </c>
      <c r="Z22">
        <f>IF(Y22&gt;=90,"م",IF(Y22&gt;=80,"جـ جـ",IF(Y22&gt;=70,"جـ",IF(Y22&gt;=60,"ط",IF(Y22&gt;=50,"ل","ر")))))</f>
        <v>0</v>
      </c>
      <c r="AA22" s="8">
        <f>IF(AND(E22&gt;=50, G22&gt;=50, I22&gt;=50, K22&gt;=50, M22&gt;=50, O22&gt;=50, Q22&gt;=50, S22&gt;=50, U22&gt;=50, W22&gt;=50, Y22&gt;=50), "ناجح", "راسب")</f>
        <v>0</v>
      </c>
      <c r="AB22" s="8">
        <f>(E22*7 + G22*2 + I22*6 + K22*7 + M22*4 + O22*2 + Q22*4 + S22*4 + U22*2 + W22*0) / (7 + 2 + 6 + 7 + 4 + 2 + 4 + 4 + 2 + 0)</f>
        <v>0</v>
      </c>
      <c r="AC22" s="8">
        <f>IF(AB22&gt;=90,"امتياز",IF(AB22&gt;=80,"جيد جدا",IF(AB22&gt;=70,"جيد",IF(AB22&gt;=60,"متوسط",IF(AB22&gt;=50,"مقبول","راسب")))))</f>
        <v>0</v>
      </c>
      <c r="AD22" s="9"/>
      <c r="AE22" s="9"/>
      <c r="AF22" s="9"/>
    </row>
    <row r="23" spans="2:32">
      <c r="B23" s="9"/>
      <c r="C23" s="9"/>
      <c r="D23" s="9"/>
      <c r="AA23" s="9"/>
      <c r="AB23" s="9"/>
      <c r="AC23" s="9"/>
      <c r="AD23" s="9"/>
      <c r="AE23" s="9"/>
      <c r="AF23" s="9"/>
    </row>
    <row r="24" spans="2:32">
      <c r="B24" s="9"/>
      <c r="C24" s="9"/>
      <c r="D24" s="9"/>
      <c r="AA24" s="9"/>
      <c r="AB24" s="9"/>
      <c r="AC24" s="9"/>
      <c r="AD24" s="9"/>
      <c r="AE24" s="9"/>
      <c r="AF24" s="9"/>
    </row>
    <row r="25" spans="2:32">
      <c r="B25" s="7">
        <v>7</v>
      </c>
      <c r="C25" s="7" t="s">
        <v>60</v>
      </c>
      <c r="D25" t="s">
        <v>54</v>
      </c>
      <c r="F25">
        <f>IF(E25&gt;=90,"م",IF(E25&gt;=80,"جـ جـ",IF(E25&gt;=70,"جـ",IF(E25&gt;=60,"ط",IF(E25&gt;=50,"ل","ر")))))</f>
        <v>0</v>
      </c>
      <c r="H25">
        <f>IF(G25&gt;=90,"م",IF(G25&gt;=80,"جـ جـ",IF(G25&gt;=70,"جـ",IF(G25&gt;=60,"ط",IF(G25&gt;=50,"ل","ر")))))</f>
        <v>0</v>
      </c>
      <c r="J25">
        <f>IF(I25&gt;=90,"م",IF(I25&gt;=80,"جـ جـ",IF(I25&gt;=70,"جـ",IF(I25&gt;=60,"ط",IF(I25&gt;=50,"ل","ر")))))</f>
        <v>0</v>
      </c>
      <c r="L25">
        <f>IF(K25&gt;=90,"م",IF(K25&gt;=80,"جـ جـ",IF(K25&gt;=70,"جـ",IF(K25&gt;=60,"ط",IF(K25&gt;=50,"ل","ر")))))</f>
        <v>0</v>
      </c>
      <c r="N25">
        <f>IF(M25&gt;=90,"م",IF(M25&gt;=80,"جـ جـ",IF(M25&gt;=70,"جـ",IF(M25&gt;=60,"ط",IF(M25&gt;=50,"ل","ر")))))</f>
        <v>0</v>
      </c>
      <c r="P25">
        <f>IF(O25&gt;=90,"م",IF(O25&gt;=80,"جـ جـ",IF(O25&gt;=70,"جـ",IF(O25&gt;=60,"ط",IF(O25&gt;=50,"ل","ر")))))</f>
        <v>0</v>
      </c>
      <c r="R25">
        <f>IF(Q25&gt;=90,"م",IF(Q25&gt;=80,"جـ جـ",IF(Q25&gt;=70,"جـ",IF(Q25&gt;=60,"ط",IF(Q25&gt;=50,"ل","ر")))))</f>
        <v>0</v>
      </c>
      <c r="T25">
        <f>IF(S25&gt;=90,"م",IF(S25&gt;=80,"جـ جـ",IF(S25&gt;=70,"جـ",IF(S25&gt;=60,"ط",IF(S25&gt;=50,"ل","ر")))))</f>
        <v>0</v>
      </c>
      <c r="V25">
        <f>IF(U25&gt;=90,"م",IF(U25&gt;=80,"جـ جـ",IF(U25&gt;=70,"جـ",IF(U25&gt;=60,"ط",IF(U25&gt;=50,"ل","ر")))))</f>
        <v>0</v>
      </c>
      <c r="X25">
        <f>IF(W25&gt;=90,"م",IF(W25&gt;=80,"جـ جـ",IF(W25&gt;=70,"جـ",IF(W25&gt;=60,"ط",IF(W25&gt;=50,"ل","ر")))))</f>
        <v>0</v>
      </c>
      <c r="Z25">
        <f>IF(Y25&gt;=90,"م",IF(Y25&gt;=80,"جـ جـ",IF(Y25&gt;=70,"جـ",IF(Y25&gt;=60,"ط",IF(Y25&gt;=50,"ل","ر")))))</f>
        <v>0</v>
      </c>
      <c r="AA25" s="8">
        <f>IF(AND(E25&gt;=50, G25&gt;=50, I25&gt;=50, K25&gt;=50, M25&gt;=50, O25&gt;=50, Q25&gt;=50, S25&gt;=50, U25&gt;=50, W25&gt;=50, Y25&gt;=50), "ناجح", "راسب")</f>
        <v>0</v>
      </c>
      <c r="AB25" s="8">
        <f>(E25*7 + G25*2 + I25*6 + K25*7 + M25*4 + O25*2 + Q25*4 + S25*4 + U25*2 + W25*0) / (7 + 2 + 6 + 7 + 4 + 2 + 4 + 4 + 2 + 0)</f>
        <v>0</v>
      </c>
      <c r="AC25" s="8">
        <f>IF(AB25&gt;=90,"امتياز",IF(AB25&gt;=80,"جيد جدا",IF(AB25&gt;=70,"جيد",IF(AB25&gt;=60,"متوسط",IF(AB25&gt;=50,"مقبول","راسب")))))</f>
        <v>0</v>
      </c>
      <c r="AD25" s="9"/>
      <c r="AE25" s="9"/>
      <c r="AF25" s="9"/>
    </row>
    <row r="26" spans="2:32">
      <c r="B26" s="9"/>
      <c r="C26" s="9"/>
      <c r="D26" s="9"/>
      <c r="AA26" s="9"/>
      <c r="AB26" s="9"/>
      <c r="AC26" s="9"/>
      <c r="AD26" s="9"/>
      <c r="AE26" s="9"/>
      <c r="AF26" s="9"/>
    </row>
    <row r="27" spans="2:32">
      <c r="B27" s="9"/>
      <c r="C27" s="9"/>
      <c r="D27" s="9"/>
      <c r="AA27" s="9"/>
      <c r="AB27" s="9"/>
      <c r="AC27" s="9"/>
      <c r="AD27" s="9"/>
      <c r="AE27" s="9"/>
      <c r="AF27" s="9"/>
    </row>
    <row r="28" spans="2:32">
      <c r="B28" s="7">
        <v>8</v>
      </c>
      <c r="C28" s="7" t="s">
        <v>61</v>
      </c>
      <c r="D28" t="s">
        <v>54</v>
      </c>
      <c r="F28">
        <f>IF(E28&gt;=90,"م",IF(E28&gt;=80,"جـ جـ",IF(E28&gt;=70,"جـ",IF(E28&gt;=60,"ط",IF(E28&gt;=50,"ل","ر")))))</f>
        <v>0</v>
      </c>
      <c r="H28">
        <f>IF(G28&gt;=90,"م",IF(G28&gt;=80,"جـ جـ",IF(G28&gt;=70,"جـ",IF(G28&gt;=60,"ط",IF(G28&gt;=50,"ل","ر")))))</f>
        <v>0</v>
      </c>
      <c r="J28">
        <f>IF(I28&gt;=90,"م",IF(I28&gt;=80,"جـ جـ",IF(I28&gt;=70,"جـ",IF(I28&gt;=60,"ط",IF(I28&gt;=50,"ل","ر")))))</f>
        <v>0</v>
      </c>
      <c r="L28">
        <f>IF(K28&gt;=90,"م",IF(K28&gt;=80,"جـ جـ",IF(K28&gt;=70,"جـ",IF(K28&gt;=60,"ط",IF(K28&gt;=50,"ل","ر")))))</f>
        <v>0</v>
      </c>
      <c r="N28">
        <f>IF(M28&gt;=90,"م",IF(M28&gt;=80,"جـ جـ",IF(M28&gt;=70,"جـ",IF(M28&gt;=60,"ط",IF(M28&gt;=50,"ل","ر")))))</f>
        <v>0</v>
      </c>
      <c r="P28">
        <f>IF(O28&gt;=90,"م",IF(O28&gt;=80,"جـ جـ",IF(O28&gt;=70,"جـ",IF(O28&gt;=60,"ط",IF(O28&gt;=50,"ل","ر")))))</f>
        <v>0</v>
      </c>
      <c r="R28">
        <f>IF(Q28&gt;=90,"م",IF(Q28&gt;=80,"جـ جـ",IF(Q28&gt;=70,"جـ",IF(Q28&gt;=60,"ط",IF(Q28&gt;=50,"ل","ر")))))</f>
        <v>0</v>
      </c>
      <c r="T28">
        <f>IF(S28&gt;=90,"م",IF(S28&gt;=80,"جـ جـ",IF(S28&gt;=70,"جـ",IF(S28&gt;=60,"ط",IF(S28&gt;=50,"ل","ر")))))</f>
        <v>0</v>
      </c>
      <c r="V28">
        <f>IF(U28&gt;=90,"م",IF(U28&gt;=80,"جـ جـ",IF(U28&gt;=70,"جـ",IF(U28&gt;=60,"ط",IF(U28&gt;=50,"ل","ر")))))</f>
        <v>0</v>
      </c>
      <c r="X28">
        <f>IF(W28&gt;=90,"م",IF(W28&gt;=80,"جـ جـ",IF(W28&gt;=70,"جـ",IF(W28&gt;=60,"ط",IF(W28&gt;=50,"ل","ر")))))</f>
        <v>0</v>
      </c>
      <c r="Z28">
        <f>IF(Y28&gt;=90,"م",IF(Y28&gt;=80,"جـ جـ",IF(Y28&gt;=70,"جـ",IF(Y28&gt;=60,"ط",IF(Y28&gt;=50,"ل","ر")))))</f>
        <v>0</v>
      </c>
      <c r="AA28" s="8">
        <f>IF(AND(E28&gt;=50, G28&gt;=50, I28&gt;=50, K28&gt;=50, M28&gt;=50, O28&gt;=50, Q28&gt;=50, S28&gt;=50, U28&gt;=50, W28&gt;=50, Y28&gt;=50), "ناجح", "راسب")</f>
        <v>0</v>
      </c>
      <c r="AB28" s="8">
        <f>(E28*7 + G28*2 + I28*6 + K28*7 + M28*4 + O28*2 + Q28*4 + S28*4 + U28*2 + W28*0) / (7 + 2 + 6 + 7 + 4 + 2 + 4 + 4 + 2 + 0)</f>
        <v>0</v>
      </c>
      <c r="AC28" s="8">
        <f>IF(AB28&gt;=90,"امتياز",IF(AB28&gt;=80,"جيد جدا",IF(AB28&gt;=70,"جيد",IF(AB28&gt;=60,"متوسط",IF(AB28&gt;=50,"مقبول","راسب")))))</f>
        <v>0</v>
      </c>
      <c r="AD28" s="9"/>
      <c r="AE28" s="9"/>
      <c r="AF28" s="9"/>
    </row>
    <row r="29" spans="2:32">
      <c r="B29" s="9"/>
      <c r="C29" s="9"/>
      <c r="D29" s="9"/>
      <c r="AA29" s="9"/>
      <c r="AB29" s="9"/>
      <c r="AC29" s="9"/>
      <c r="AD29" s="9"/>
      <c r="AE29" s="9"/>
      <c r="AF29" s="9"/>
    </row>
    <row r="30" spans="2:32">
      <c r="B30" s="9"/>
      <c r="C30" s="9"/>
      <c r="D30" s="9"/>
      <c r="AA30" s="9"/>
      <c r="AB30" s="9"/>
      <c r="AC30" s="9"/>
      <c r="AD30" s="9"/>
      <c r="AE30" s="9"/>
      <c r="AF30" s="9"/>
    </row>
    <row r="31" spans="2:32">
      <c r="B31" s="7">
        <v>9</v>
      </c>
      <c r="C31" s="7" t="s">
        <v>62</v>
      </c>
      <c r="D31" t="s">
        <v>54</v>
      </c>
      <c r="F31">
        <f>IF(E31&gt;=90,"م",IF(E31&gt;=80,"جـ جـ",IF(E31&gt;=70,"جـ",IF(E31&gt;=60,"ط",IF(E31&gt;=50,"ل","ر")))))</f>
        <v>0</v>
      </c>
      <c r="H31">
        <f>IF(G31&gt;=90,"م",IF(G31&gt;=80,"جـ جـ",IF(G31&gt;=70,"جـ",IF(G31&gt;=60,"ط",IF(G31&gt;=50,"ل","ر")))))</f>
        <v>0</v>
      </c>
      <c r="J31">
        <f>IF(I31&gt;=90,"م",IF(I31&gt;=80,"جـ جـ",IF(I31&gt;=70,"جـ",IF(I31&gt;=60,"ط",IF(I31&gt;=50,"ل","ر")))))</f>
        <v>0</v>
      </c>
      <c r="L31">
        <f>IF(K31&gt;=90,"م",IF(K31&gt;=80,"جـ جـ",IF(K31&gt;=70,"جـ",IF(K31&gt;=60,"ط",IF(K31&gt;=50,"ل","ر")))))</f>
        <v>0</v>
      </c>
      <c r="N31">
        <f>IF(M31&gt;=90,"م",IF(M31&gt;=80,"جـ جـ",IF(M31&gt;=70,"جـ",IF(M31&gt;=60,"ط",IF(M31&gt;=50,"ل","ر")))))</f>
        <v>0</v>
      </c>
      <c r="P31">
        <f>IF(O31&gt;=90,"م",IF(O31&gt;=80,"جـ جـ",IF(O31&gt;=70,"جـ",IF(O31&gt;=60,"ط",IF(O31&gt;=50,"ل","ر")))))</f>
        <v>0</v>
      </c>
      <c r="R31">
        <f>IF(Q31&gt;=90,"م",IF(Q31&gt;=80,"جـ جـ",IF(Q31&gt;=70,"جـ",IF(Q31&gt;=60,"ط",IF(Q31&gt;=50,"ل","ر")))))</f>
        <v>0</v>
      </c>
      <c r="T31">
        <f>IF(S31&gt;=90,"م",IF(S31&gt;=80,"جـ جـ",IF(S31&gt;=70,"جـ",IF(S31&gt;=60,"ط",IF(S31&gt;=50,"ل","ر")))))</f>
        <v>0</v>
      </c>
      <c r="V31">
        <f>IF(U31&gt;=90,"م",IF(U31&gt;=80,"جـ جـ",IF(U31&gt;=70,"جـ",IF(U31&gt;=60,"ط",IF(U31&gt;=50,"ل","ر")))))</f>
        <v>0</v>
      </c>
      <c r="X31">
        <f>IF(W31&gt;=90,"م",IF(W31&gt;=80,"جـ جـ",IF(W31&gt;=70,"جـ",IF(W31&gt;=60,"ط",IF(W31&gt;=50,"ل","ر")))))</f>
        <v>0</v>
      </c>
      <c r="Z31">
        <f>IF(Y31&gt;=90,"م",IF(Y31&gt;=80,"جـ جـ",IF(Y31&gt;=70,"جـ",IF(Y31&gt;=60,"ط",IF(Y31&gt;=50,"ل","ر")))))</f>
        <v>0</v>
      </c>
      <c r="AA31" s="8">
        <f>IF(AND(E31&gt;=50, G31&gt;=50, I31&gt;=50, K31&gt;=50, M31&gt;=50, O31&gt;=50, Q31&gt;=50, S31&gt;=50, U31&gt;=50, W31&gt;=50, Y31&gt;=50), "ناجح", "راسب")</f>
        <v>0</v>
      </c>
      <c r="AB31" s="8">
        <f>(E31*7 + G31*2 + I31*6 + K31*7 + M31*4 + O31*2 + Q31*4 + S31*4 + U31*2 + W31*0) / (7 + 2 + 6 + 7 + 4 + 2 + 4 + 4 + 2 + 0)</f>
        <v>0</v>
      </c>
      <c r="AC31" s="8">
        <f>IF(AB31&gt;=90,"امتياز",IF(AB31&gt;=80,"جيد جدا",IF(AB31&gt;=70,"جيد",IF(AB31&gt;=60,"متوسط",IF(AB31&gt;=50,"مقبول","راسب")))))</f>
        <v>0</v>
      </c>
      <c r="AD31" s="9"/>
      <c r="AE31" s="9"/>
      <c r="AF31" s="9"/>
    </row>
    <row r="32" spans="2:32">
      <c r="B32" s="9"/>
      <c r="C32" s="9"/>
      <c r="D32" s="9"/>
      <c r="AA32" s="9"/>
      <c r="AB32" s="9"/>
      <c r="AC32" s="9"/>
      <c r="AD32" s="9"/>
      <c r="AE32" s="9"/>
      <c r="AF32" s="9"/>
    </row>
    <row r="33" spans="2:32">
      <c r="B33" s="9"/>
      <c r="C33" s="9"/>
      <c r="D33" s="9"/>
      <c r="AA33" s="9"/>
      <c r="AB33" s="9"/>
      <c r="AC33" s="9"/>
      <c r="AD33" s="9"/>
      <c r="AE33" s="9"/>
      <c r="AF33" s="9"/>
    </row>
    <row r="34" spans="2:32">
      <c r="B34" s="7">
        <v>10</v>
      </c>
      <c r="C34" s="7" t="s">
        <v>63</v>
      </c>
      <c r="D34" t="s">
        <v>54</v>
      </c>
      <c r="F34">
        <f>IF(E34&gt;=90,"م",IF(E34&gt;=80,"جـ جـ",IF(E34&gt;=70,"جـ",IF(E34&gt;=60,"ط",IF(E34&gt;=50,"ل","ر")))))</f>
        <v>0</v>
      </c>
      <c r="H34">
        <f>IF(G34&gt;=90,"م",IF(G34&gt;=80,"جـ جـ",IF(G34&gt;=70,"جـ",IF(G34&gt;=60,"ط",IF(G34&gt;=50,"ل","ر")))))</f>
        <v>0</v>
      </c>
      <c r="J34">
        <f>IF(I34&gt;=90,"م",IF(I34&gt;=80,"جـ جـ",IF(I34&gt;=70,"جـ",IF(I34&gt;=60,"ط",IF(I34&gt;=50,"ل","ر")))))</f>
        <v>0</v>
      </c>
      <c r="L34">
        <f>IF(K34&gt;=90,"م",IF(K34&gt;=80,"جـ جـ",IF(K34&gt;=70,"جـ",IF(K34&gt;=60,"ط",IF(K34&gt;=50,"ل","ر")))))</f>
        <v>0</v>
      </c>
      <c r="N34">
        <f>IF(M34&gt;=90,"م",IF(M34&gt;=80,"جـ جـ",IF(M34&gt;=70,"جـ",IF(M34&gt;=60,"ط",IF(M34&gt;=50,"ل","ر")))))</f>
        <v>0</v>
      </c>
      <c r="P34">
        <f>IF(O34&gt;=90,"م",IF(O34&gt;=80,"جـ جـ",IF(O34&gt;=70,"جـ",IF(O34&gt;=60,"ط",IF(O34&gt;=50,"ل","ر")))))</f>
        <v>0</v>
      </c>
      <c r="R34">
        <f>IF(Q34&gt;=90,"م",IF(Q34&gt;=80,"جـ جـ",IF(Q34&gt;=70,"جـ",IF(Q34&gt;=60,"ط",IF(Q34&gt;=50,"ل","ر")))))</f>
        <v>0</v>
      </c>
      <c r="T34">
        <f>IF(S34&gt;=90,"م",IF(S34&gt;=80,"جـ جـ",IF(S34&gt;=70,"جـ",IF(S34&gt;=60,"ط",IF(S34&gt;=50,"ل","ر")))))</f>
        <v>0</v>
      </c>
      <c r="V34">
        <f>IF(U34&gt;=90,"م",IF(U34&gt;=80,"جـ جـ",IF(U34&gt;=70,"جـ",IF(U34&gt;=60,"ط",IF(U34&gt;=50,"ل","ر")))))</f>
        <v>0</v>
      </c>
      <c r="X34">
        <f>IF(W34&gt;=90,"م",IF(W34&gt;=80,"جـ جـ",IF(W34&gt;=70,"جـ",IF(W34&gt;=60,"ط",IF(W34&gt;=50,"ل","ر")))))</f>
        <v>0</v>
      </c>
      <c r="Z34">
        <f>IF(Y34&gt;=90,"م",IF(Y34&gt;=80,"جـ جـ",IF(Y34&gt;=70,"جـ",IF(Y34&gt;=60,"ط",IF(Y34&gt;=50,"ل","ر")))))</f>
        <v>0</v>
      </c>
      <c r="AA34" s="8">
        <f>IF(AND(E34&gt;=50, G34&gt;=50, I34&gt;=50, K34&gt;=50, M34&gt;=50, O34&gt;=50, Q34&gt;=50, S34&gt;=50, U34&gt;=50, W34&gt;=50, Y34&gt;=50), "ناجح", "راسب")</f>
        <v>0</v>
      </c>
      <c r="AB34" s="8">
        <f>(E34*7 + G34*2 + I34*6 + K34*7 + M34*4 + O34*2 + Q34*4 + S34*4 + U34*2 + W34*0) / (7 + 2 + 6 + 7 + 4 + 2 + 4 + 4 + 2 + 0)</f>
        <v>0</v>
      </c>
      <c r="AC34" s="8">
        <f>IF(AB34&gt;=90,"امتياز",IF(AB34&gt;=80,"جيد جدا",IF(AB34&gt;=70,"جيد",IF(AB34&gt;=60,"متوسط",IF(AB34&gt;=50,"مقبول","راسب")))))</f>
        <v>0</v>
      </c>
      <c r="AD34" s="9"/>
      <c r="AE34" s="9"/>
      <c r="AF34" s="9"/>
    </row>
    <row r="35" spans="2:32">
      <c r="B35" s="9"/>
      <c r="C35" s="9"/>
      <c r="D35" s="9"/>
      <c r="AA35" s="9"/>
      <c r="AB35" s="9"/>
      <c r="AC35" s="9"/>
      <c r="AD35" s="9"/>
      <c r="AE35" s="9"/>
      <c r="AF35" s="9"/>
    </row>
    <row r="36" spans="2:32">
      <c r="B36" s="9"/>
      <c r="C36" s="9"/>
      <c r="D36" s="9"/>
      <c r="AA36" s="9"/>
      <c r="AB36" s="9"/>
      <c r="AC36" s="9"/>
      <c r="AD36" s="9"/>
      <c r="AE36" s="9"/>
      <c r="AF36" s="9"/>
    </row>
    <row r="38" spans="2:32">
      <c r="C38" s="9" t="s">
        <v>29</v>
      </c>
    </row>
    <row r="39" spans="2:32">
      <c r="C39" s="9" t="s">
        <v>30</v>
      </c>
      <c r="F39" s="9" t="s">
        <v>33</v>
      </c>
      <c r="K39" s="9" t="s">
        <v>36</v>
      </c>
      <c r="P39" s="9" t="s">
        <v>39</v>
      </c>
      <c r="W39" s="9" t="s">
        <v>42</v>
      </c>
      <c r="AB39" s="9" t="s">
        <v>42</v>
      </c>
      <c r="AF39" s="9" t="s">
        <v>45</v>
      </c>
    </row>
    <row r="40" spans="2:32">
      <c r="C40" s="9" t="s">
        <v>31</v>
      </c>
      <c r="F40" s="9" t="s">
        <v>34</v>
      </c>
      <c r="K40" s="9" t="s">
        <v>37</v>
      </c>
      <c r="P40" s="9" t="s">
        <v>40</v>
      </c>
      <c r="W40" s="9" t="s">
        <v>43</v>
      </c>
      <c r="AB40" s="9" t="s">
        <v>44</v>
      </c>
      <c r="AF40" s="9" t="s">
        <v>46</v>
      </c>
    </row>
    <row r="41" spans="2:32">
      <c r="C41" s="9" t="s">
        <v>32</v>
      </c>
      <c r="F41" s="9" t="s">
        <v>35</v>
      </c>
      <c r="K41" s="9" t="s">
        <v>38</v>
      </c>
      <c r="P41" s="9" t="s">
        <v>41</v>
      </c>
    </row>
    <row r="43" spans="2:32">
      <c r="B43" s="9" t="s">
        <v>47</v>
      </c>
      <c r="C43" s="9" t="s">
        <v>48</v>
      </c>
    </row>
    <row r="44" spans="2:32">
      <c r="B44" s="9" t="s">
        <v>49</v>
      </c>
      <c r="C44" s="9" t="s">
        <v>50</v>
      </c>
    </row>
    <row r="45" spans="2:32">
      <c r="B45" s="9" t="s">
        <v>51</v>
      </c>
      <c r="C45" s="9" t="s">
        <v>52</v>
      </c>
    </row>
    <row r="51" spans="2:32">
      <c r="C51" s="1" t="s">
        <v>1</v>
      </c>
      <c r="G51" s="2" t="s">
        <v>73</v>
      </c>
      <c r="H51" s="2"/>
      <c r="I51" s="2"/>
      <c r="J51" s="2"/>
      <c r="K51" s="2"/>
      <c r="L51" s="2"/>
      <c r="M51" s="2"/>
      <c r="N51" s="2"/>
      <c r="AF51" s="1" t="s">
        <v>3</v>
      </c>
    </row>
    <row r="52" spans="2:32">
      <c r="C52" s="1" t="s">
        <v>2</v>
      </c>
      <c r="AF52" s="1" t="s">
        <v>4</v>
      </c>
    </row>
    <row r="53" spans="2:32">
      <c r="AF53" s="1" t="s">
        <v>5</v>
      </c>
    </row>
    <row r="54" spans="2:32">
      <c r="G54" s="1" t="s">
        <v>6</v>
      </c>
    </row>
    <row r="55" spans="2:32">
      <c r="B55" s="3" t="s">
        <v>8</v>
      </c>
      <c r="C55" s="4" t="s">
        <v>7</v>
      </c>
      <c r="D55" s="3" t="s">
        <v>10</v>
      </c>
      <c r="E55" s="5">
        <v>7</v>
      </c>
      <c r="F55" s="5"/>
      <c r="G55" s="5">
        <v>2</v>
      </c>
      <c r="H55" s="5"/>
      <c r="I55" s="5">
        <v>6</v>
      </c>
      <c r="J55" s="5"/>
      <c r="K55" s="5">
        <v>7</v>
      </c>
      <c r="L55" s="5"/>
      <c r="M55" s="5">
        <v>4</v>
      </c>
      <c r="N55" s="5"/>
      <c r="O55" s="5">
        <v>2</v>
      </c>
      <c r="P55" s="5"/>
      <c r="Q55" s="5">
        <v>4</v>
      </c>
      <c r="R55" s="5"/>
      <c r="S55" s="5">
        <v>4</v>
      </c>
      <c r="T55" s="5"/>
      <c r="U55" s="5">
        <v>2</v>
      </c>
      <c r="V55" s="5"/>
      <c r="W55" s="5">
        <v>0</v>
      </c>
      <c r="X55" s="5"/>
      <c r="Y55" s="5">
        <v>3</v>
      </c>
      <c r="Z55" s="5"/>
      <c r="AA55" s="3" t="s">
        <v>23</v>
      </c>
      <c r="AB55" s="3" t="s">
        <v>24</v>
      </c>
      <c r="AC55" s="3" t="s">
        <v>25</v>
      </c>
      <c r="AD55" s="3" t="s">
        <v>26</v>
      </c>
      <c r="AE55" s="3" t="s">
        <v>27</v>
      </c>
      <c r="AF55" s="5" t="s">
        <v>28</v>
      </c>
    </row>
    <row r="56" spans="2:32" ht="40" customHeight="1">
      <c r="B56" s="3"/>
      <c r="C56" s="6" t="s">
        <v>11</v>
      </c>
      <c r="D56" s="3"/>
      <c r="E56" s="5" t="s">
        <v>13</v>
      </c>
      <c r="F56" s="5"/>
      <c r="G56" s="5" t="s">
        <v>14</v>
      </c>
      <c r="H56" s="5"/>
      <c r="I56" s="5" t="s">
        <v>15</v>
      </c>
      <c r="J56" s="5"/>
      <c r="K56" s="5" t="s">
        <v>16</v>
      </c>
      <c r="L56" s="5"/>
      <c r="M56" s="5" t="s">
        <v>17</v>
      </c>
      <c r="N56" s="5"/>
      <c r="O56" s="5" t="s">
        <v>18</v>
      </c>
      <c r="P56" s="5"/>
      <c r="Q56" s="5" t="s">
        <v>19</v>
      </c>
      <c r="R56" s="5"/>
      <c r="S56" s="5" t="s">
        <v>20</v>
      </c>
      <c r="T56" s="5"/>
      <c r="U56" s="5" t="s">
        <v>21</v>
      </c>
      <c r="V56" s="5"/>
      <c r="W56" s="5" t="s">
        <v>22</v>
      </c>
      <c r="X56" s="5"/>
      <c r="Y56" s="5" t="s">
        <v>21</v>
      </c>
      <c r="Z56" s="5"/>
      <c r="AA56" s="3"/>
      <c r="AB56" s="3"/>
      <c r="AC56" s="3"/>
      <c r="AD56" s="3"/>
      <c r="AE56" s="3"/>
      <c r="AF56" s="5"/>
    </row>
    <row r="57" spans="2:32">
      <c r="B57" s="7">
        <v>11</v>
      </c>
      <c r="C57" s="7" t="s">
        <v>74</v>
      </c>
      <c r="D57" t="s">
        <v>54</v>
      </c>
      <c r="F57">
        <f>IF(E57&gt;=90,"م",IF(E57&gt;=80,"جـ جـ",IF(E57&gt;=70,"جـ",IF(E57&gt;=60,"ط",IF(E57&gt;=50,"ل","ر")))))</f>
        <v>0</v>
      </c>
      <c r="H57">
        <f>IF(G57&gt;=90,"م",IF(G57&gt;=80,"جـ جـ",IF(G57&gt;=70,"جـ",IF(G57&gt;=60,"ط",IF(G57&gt;=50,"ل","ر")))))</f>
        <v>0</v>
      </c>
      <c r="J57">
        <f>IF(I57&gt;=90,"م",IF(I57&gt;=80,"جـ جـ",IF(I57&gt;=70,"جـ",IF(I57&gt;=60,"ط",IF(I57&gt;=50,"ل","ر")))))</f>
        <v>0</v>
      </c>
      <c r="L57">
        <f>IF(K57&gt;=90,"م",IF(K57&gt;=80,"جـ جـ",IF(K57&gt;=70,"جـ",IF(K57&gt;=60,"ط",IF(K57&gt;=50,"ل","ر")))))</f>
        <v>0</v>
      </c>
      <c r="N57">
        <f>IF(M57&gt;=90,"م",IF(M57&gt;=80,"جـ جـ",IF(M57&gt;=70,"جـ",IF(M57&gt;=60,"ط",IF(M57&gt;=50,"ل","ر")))))</f>
        <v>0</v>
      </c>
      <c r="P57">
        <f>IF(O57&gt;=90,"م",IF(O57&gt;=80,"جـ جـ",IF(O57&gt;=70,"جـ",IF(O57&gt;=60,"ط",IF(O57&gt;=50,"ل","ر")))))</f>
        <v>0</v>
      </c>
      <c r="R57">
        <f>IF(Q57&gt;=90,"م",IF(Q57&gt;=80,"جـ جـ",IF(Q57&gt;=70,"جـ",IF(Q57&gt;=60,"ط",IF(Q57&gt;=50,"ل","ر")))))</f>
        <v>0</v>
      </c>
      <c r="T57">
        <f>IF(S57&gt;=90,"م",IF(S57&gt;=80,"جـ جـ",IF(S57&gt;=70,"جـ",IF(S57&gt;=60,"ط",IF(S57&gt;=50,"ل","ر")))))</f>
        <v>0</v>
      </c>
      <c r="V57">
        <f>IF(U57&gt;=90,"م",IF(U57&gt;=80,"جـ جـ",IF(U57&gt;=70,"جـ",IF(U57&gt;=60,"ط",IF(U57&gt;=50,"ل","ر")))))</f>
        <v>0</v>
      </c>
      <c r="X57">
        <f>IF(W57&gt;=90,"م",IF(W57&gt;=80,"جـ جـ",IF(W57&gt;=70,"جـ",IF(W57&gt;=60,"ط",IF(W57&gt;=50,"ل","ر")))))</f>
        <v>0</v>
      </c>
      <c r="Z57">
        <f>IF(Y57&gt;=90,"م",IF(Y57&gt;=80,"جـ جـ",IF(Y57&gt;=70,"جـ",IF(Y57&gt;=60,"ط",IF(Y57&gt;=50,"ل","ر")))))</f>
        <v>0</v>
      </c>
      <c r="AA57" s="8">
        <f>IF(AND(E57&gt;=50, G57&gt;=50, I57&gt;=50, K57&gt;=50, M57&gt;=50, O57&gt;=50, Q57&gt;=50, S57&gt;=50, U57&gt;=50, W57&gt;=50, Y57&gt;=50), "ناجح", "راسب")</f>
        <v>0</v>
      </c>
      <c r="AB57" s="8">
        <f>(E57*7 + G57*2 + I57*6 + K57*7 + M57*4 + O57*2 + Q57*4 + S57*4 + U57*2 + W57*0) / (7 + 2 + 6 + 7 + 4 + 2 + 4 + 4 + 2 + 0)</f>
        <v>0</v>
      </c>
      <c r="AC57" s="8">
        <f>IF(AB57&gt;=90,"امتياز",IF(AB57&gt;=80,"جيد جدا",IF(AB57&gt;=70,"جيد",IF(AB57&gt;=60,"متوسط",IF(AB57&gt;=50,"مقبول","راسب")))))</f>
        <v>0</v>
      </c>
      <c r="AD57" s="9"/>
      <c r="AE57" s="9"/>
      <c r="AF57" s="9"/>
    </row>
    <row r="58" spans="2:32">
      <c r="B58" s="9"/>
      <c r="C58" s="9"/>
      <c r="D58" s="9"/>
      <c r="AA58" s="9"/>
      <c r="AB58" s="9"/>
      <c r="AC58" s="9"/>
      <c r="AD58" s="9"/>
      <c r="AE58" s="9"/>
      <c r="AF58" s="9"/>
    </row>
    <row r="59" spans="2:32">
      <c r="B59" s="9"/>
      <c r="C59" s="9"/>
      <c r="D59" s="9"/>
      <c r="AA59" s="9"/>
      <c r="AB59" s="9"/>
      <c r="AC59" s="9"/>
      <c r="AD59" s="9"/>
      <c r="AE59" s="9"/>
      <c r="AF59" s="9"/>
    </row>
    <row r="60" spans="2:32">
      <c r="B60" s="7">
        <v>12</v>
      </c>
      <c r="C60" s="7" t="s">
        <v>75</v>
      </c>
      <c r="D60" t="s">
        <v>54</v>
      </c>
      <c r="F60">
        <f>IF(E60&gt;=90,"م",IF(E60&gt;=80,"جـ جـ",IF(E60&gt;=70,"جـ",IF(E60&gt;=60,"ط",IF(E60&gt;=50,"ل","ر")))))</f>
        <v>0</v>
      </c>
      <c r="H60">
        <f>IF(G60&gt;=90,"م",IF(G60&gt;=80,"جـ جـ",IF(G60&gt;=70,"جـ",IF(G60&gt;=60,"ط",IF(G60&gt;=50,"ل","ر")))))</f>
        <v>0</v>
      </c>
      <c r="J60">
        <f>IF(I60&gt;=90,"م",IF(I60&gt;=80,"جـ جـ",IF(I60&gt;=70,"جـ",IF(I60&gt;=60,"ط",IF(I60&gt;=50,"ل","ر")))))</f>
        <v>0</v>
      </c>
      <c r="L60">
        <f>IF(K60&gt;=90,"م",IF(K60&gt;=80,"جـ جـ",IF(K60&gt;=70,"جـ",IF(K60&gt;=60,"ط",IF(K60&gt;=50,"ل","ر")))))</f>
        <v>0</v>
      </c>
      <c r="N60">
        <f>IF(M60&gt;=90,"م",IF(M60&gt;=80,"جـ جـ",IF(M60&gt;=70,"جـ",IF(M60&gt;=60,"ط",IF(M60&gt;=50,"ل","ر")))))</f>
        <v>0</v>
      </c>
      <c r="P60">
        <f>IF(O60&gt;=90,"م",IF(O60&gt;=80,"جـ جـ",IF(O60&gt;=70,"جـ",IF(O60&gt;=60,"ط",IF(O60&gt;=50,"ل","ر")))))</f>
        <v>0</v>
      </c>
      <c r="R60">
        <f>IF(Q60&gt;=90,"م",IF(Q60&gt;=80,"جـ جـ",IF(Q60&gt;=70,"جـ",IF(Q60&gt;=60,"ط",IF(Q60&gt;=50,"ل","ر")))))</f>
        <v>0</v>
      </c>
      <c r="T60">
        <f>IF(S60&gt;=90,"م",IF(S60&gt;=80,"جـ جـ",IF(S60&gt;=70,"جـ",IF(S60&gt;=60,"ط",IF(S60&gt;=50,"ل","ر")))))</f>
        <v>0</v>
      </c>
      <c r="V60">
        <f>IF(U60&gt;=90,"م",IF(U60&gt;=80,"جـ جـ",IF(U60&gt;=70,"جـ",IF(U60&gt;=60,"ط",IF(U60&gt;=50,"ل","ر")))))</f>
        <v>0</v>
      </c>
      <c r="X60">
        <f>IF(W60&gt;=90,"م",IF(W60&gt;=80,"جـ جـ",IF(W60&gt;=70,"جـ",IF(W60&gt;=60,"ط",IF(W60&gt;=50,"ل","ر")))))</f>
        <v>0</v>
      </c>
      <c r="Z60">
        <f>IF(Y60&gt;=90,"م",IF(Y60&gt;=80,"جـ جـ",IF(Y60&gt;=70,"جـ",IF(Y60&gt;=60,"ط",IF(Y60&gt;=50,"ل","ر")))))</f>
        <v>0</v>
      </c>
      <c r="AA60" s="8">
        <f>IF(AND(E60&gt;=50, G60&gt;=50, I60&gt;=50, K60&gt;=50, M60&gt;=50, O60&gt;=50, Q60&gt;=50, S60&gt;=50, U60&gt;=50, W60&gt;=50, Y60&gt;=50), "ناجح", "راسب")</f>
        <v>0</v>
      </c>
      <c r="AB60" s="8">
        <f>(E60*7 + G60*2 + I60*6 + K60*7 + M60*4 + O60*2 + Q60*4 + S60*4 + U60*2 + W60*0) / (7 + 2 + 6 + 7 + 4 + 2 + 4 + 4 + 2 + 0)</f>
        <v>0</v>
      </c>
      <c r="AC60" s="8">
        <f>IF(AB60&gt;=90,"امتياز",IF(AB60&gt;=80,"جيد جدا",IF(AB60&gt;=70,"جيد",IF(AB60&gt;=60,"متوسط",IF(AB60&gt;=50,"مقبول","راسب")))))</f>
        <v>0</v>
      </c>
      <c r="AD60" s="9"/>
      <c r="AE60" s="9"/>
      <c r="AF60" s="9"/>
    </row>
    <row r="61" spans="2:32">
      <c r="B61" s="9"/>
      <c r="C61" s="9"/>
      <c r="D61" s="9"/>
      <c r="AA61" s="9"/>
      <c r="AB61" s="9"/>
      <c r="AC61" s="9"/>
      <c r="AD61" s="9"/>
      <c r="AE61" s="9"/>
      <c r="AF61" s="9"/>
    </row>
    <row r="62" spans="2:32">
      <c r="B62" s="9"/>
      <c r="C62" s="9"/>
      <c r="D62" s="9"/>
      <c r="AA62" s="9"/>
      <c r="AB62" s="9"/>
      <c r="AC62" s="9"/>
      <c r="AD62" s="9"/>
      <c r="AE62" s="9"/>
      <c r="AF62" s="9"/>
    </row>
    <row r="63" spans="2:32">
      <c r="B63" s="7">
        <v>13</v>
      </c>
      <c r="C63" s="7" t="s">
        <v>76</v>
      </c>
      <c r="D63" t="s">
        <v>54</v>
      </c>
      <c r="F63">
        <f>IF(E63&gt;=90,"م",IF(E63&gt;=80,"جـ جـ",IF(E63&gt;=70,"جـ",IF(E63&gt;=60,"ط",IF(E63&gt;=50,"ل","ر")))))</f>
        <v>0</v>
      </c>
      <c r="H63">
        <f>IF(G63&gt;=90,"م",IF(G63&gt;=80,"جـ جـ",IF(G63&gt;=70,"جـ",IF(G63&gt;=60,"ط",IF(G63&gt;=50,"ل","ر")))))</f>
        <v>0</v>
      </c>
      <c r="J63">
        <f>IF(I63&gt;=90,"م",IF(I63&gt;=80,"جـ جـ",IF(I63&gt;=70,"جـ",IF(I63&gt;=60,"ط",IF(I63&gt;=50,"ل","ر")))))</f>
        <v>0</v>
      </c>
      <c r="L63">
        <f>IF(K63&gt;=90,"م",IF(K63&gt;=80,"جـ جـ",IF(K63&gt;=70,"جـ",IF(K63&gt;=60,"ط",IF(K63&gt;=50,"ل","ر")))))</f>
        <v>0</v>
      </c>
      <c r="N63">
        <f>IF(M63&gt;=90,"م",IF(M63&gt;=80,"جـ جـ",IF(M63&gt;=70,"جـ",IF(M63&gt;=60,"ط",IF(M63&gt;=50,"ل","ر")))))</f>
        <v>0</v>
      </c>
      <c r="P63">
        <f>IF(O63&gt;=90,"م",IF(O63&gt;=80,"جـ جـ",IF(O63&gt;=70,"جـ",IF(O63&gt;=60,"ط",IF(O63&gt;=50,"ل","ر")))))</f>
        <v>0</v>
      </c>
      <c r="R63">
        <f>IF(Q63&gt;=90,"م",IF(Q63&gt;=80,"جـ جـ",IF(Q63&gt;=70,"جـ",IF(Q63&gt;=60,"ط",IF(Q63&gt;=50,"ل","ر")))))</f>
        <v>0</v>
      </c>
      <c r="T63">
        <f>IF(S63&gt;=90,"م",IF(S63&gt;=80,"جـ جـ",IF(S63&gt;=70,"جـ",IF(S63&gt;=60,"ط",IF(S63&gt;=50,"ل","ر")))))</f>
        <v>0</v>
      </c>
      <c r="V63">
        <f>IF(U63&gt;=90,"م",IF(U63&gt;=80,"جـ جـ",IF(U63&gt;=70,"جـ",IF(U63&gt;=60,"ط",IF(U63&gt;=50,"ل","ر")))))</f>
        <v>0</v>
      </c>
      <c r="X63">
        <f>IF(W63&gt;=90,"م",IF(W63&gt;=80,"جـ جـ",IF(W63&gt;=70,"جـ",IF(W63&gt;=60,"ط",IF(W63&gt;=50,"ل","ر")))))</f>
        <v>0</v>
      </c>
      <c r="Z63">
        <f>IF(Y63&gt;=90,"م",IF(Y63&gt;=80,"جـ جـ",IF(Y63&gt;=70,"جـ",IF(Y63&gt;=60,"ط",IF(Y63&gt;=50,"ل","ر")))))</f>
        <v>0</v>
      </c>
      <c r="AA63" s="8">
        <f>IF(AND(E63&gt;=50, G63&gt;=50, I63&gt;=50, K63&gt;=50, M63&gt;=50, O63&gt;=50, Q63&gt;=50, S63&gt;=50, U63&gt;=50, W63&gt;=50, Y63&gt;=50), "ناجح", "راسب")</f>
        <v>0</v>
      </c>
      <c r="AB63" s="8">
        <f>(E63*7 + G63*2 + I63*6 + K63*7 + M63*4 + O63*2 + Q63*4 + S63*4 + U63*2 + W63*0) / (7 + 2 + 6 + 7 + 4 + 2 + 4 + 4 + 2 + 0)</f>
        <v>0</v>
      </c>
      <c r="AC63" s="8">
        <f>IF(AB63&gt;=90,"امتياز",IF(AB63&gt;=80,"جيد جدا",IF(AB63&gt;=70,"جيد",IF(AB63&gt;=60,"متوسط",IF(AB63&gt;=50,"مقبول","راسب")))))</f>
        <v>0</v>
      </c>
      <c r="AD63" s="9"/>
      <c r="AE63" s="9"/>
      <c r="AF63" s="9"/>
    </row>
    <row r="64" spans="2:32">
      <c r="B64" s="9"/>
      <c r="C64" s="9"/>
      <c r="D64" s="9"/>
      <c r="AA64" s="9"/>
      <c r="AB64" s="9"/>
      <c r="AC64" s="9"/>
      <c r="AD64" s="9"/>
      <c r="AE64" s="9"/>
      <c r="AF64" s="9"/>
    </row>
    <row r="65" spans="2:32">
      <c r="B65" s="9"/>
      <c r="C65" s="9"/>
      <c r="D65" s="9"/>
      <c r="AA65" s="9"/>
      <c r="AB65" s="9"/>
      <c r="AC65" s="9"/>
      <c r="AD65" s="9"/>
      <c r="AE65" s="9"/>
      <c r="AF65" s="9"/>
    </row>
    <row r="66" spans="2:32">
      <c r="B66" s="7">
        <v>14</v>
      </c>
      <c r="C66" s="7" t="s">
        <v>77</v>
      </c>
      <c r="D66" t="s">
        <v>54</v>
      </c>
      <c r="F66">
        <f>IF(E66&gt;=90,"م",IF(E66&gt;=80,"جـ جـ",IF(E66&gt;=70,"جـ",IF(E66&gt;=60,"ط",IF(E66&gt;=50,"ل","ر")))))</f>
        <v>0</v>
      </c>
      <c r="H66">
        <f>IF(G66&gt;=90,"م",IF(G66&gt;=80,"جـ جـ",IF(G66&gt;=70,"جـ",IF(G66&gt;=60,"ط",IF(G66&gt;=50,"ل","ر")))))</f>
        <v>0</v>
      </c>
      <c r="J66">
        <f>IF(I66&gt;=90,"م",IF(I66&gt;=80,"جـ جـ",IF(I66&gt;=70,"جـ",IF(I66&gt;=60,"ط",IF(I66&gt;=50,"ل","ر")))))</f>
        <v>0</v>
      </c>
      <c r="L66">
        <f>IF(K66&gt;=90,"م",IF(K66&gt;=80,"جـ جـ",IF(K66&gt;=70,"جـ",IF(K66&gt;=60,"ط",IF(K66&gt;=50,"ل","ر")))))</f>
        <v>0</v>
      </c>
      <c r="N66">
        <f>IF(M66&gt;=90,"م",IF(M66&gt;=80,"جـ جـ",IF(M66&gt;=70,"جـ",IF(M66&gt;=60,"ط",IF(M66&gt;=50,"ل","ر")))))</f>
        <v>0</v>
      </c>
      <c r="P66">
        <f>IF(O66&gt;=90,"م",IF(O66&gt;=80,"جـ جـ",IF(O66&gt;=70,"جـ",IF(O66&gt;=60,"ط",IF(O66&gt;=50,"ل","ر")))))</f>
        <v>0</v>
      </c>
      <c r="R66">
        <f>IF(Q66&gt;=90,"م",IF(Q66&gt;=80,"جـ جـ",IF(Q66&gt;=70,"جـ",IF(Q66&gt;=60,"ط",IF(Q66&gt;=50,"ل","ر")))))</f>
        <v>0</v>
      </c>
      <c r="T66">
        <f>IF(S66&gt;=90,"م",IF(S66&gt;=80,"جـ جـ",IF(S66&gt;=70,"جـ",IF(S66&gt;=60,"ط",IF(S66&gt;=50,"ل","ر")))))</f>
        <v>0</v>
      </c>
      <c r="V66">
        <f>IF(U66&gt;=90,"م",IF(U66&gt;=80,"جـ جـ",IF(U66&gt;=70,"جـ",IF(U66&gt;=60,"ط",IF(U66&gt;=50,"ل","ر")))))</f>
        <v>0</v>
      </c>
      <c r="X66">
        <f>IF(W66&gt;=90,"م",IF(W66&gt;=80,"جـ جـ",IF(W66&gt;=70,"جـ",IF(W66&gt;=60,"ط",IF(W66&gt;=50,"ل","ر")))))</f>
        <v>0</v>
      </c>
      <c r="Z66">
        <f>IF(Y66&gt;=90,"م",IF(Y66&gt;=80,"جـ جـ",IF(Y66&gt;=70,"جـ",IF(Y66&gt;=60,"ط",IF(Y66&gt;=50,"ل","ر")))))</f>
        <v>0</v>
      </c>
      <c r="AA66" s="8">
        <f>IF(AND(E66&gt;=50, G66&gt;=50, I66&gt;=50, K66&gt;=50, M66&gt;=50, O66&gt;=50, Q66&gt;=50, S66&gt;=50, U66&gt;=50, W66&gt;=50, Y66&gt;=50), "ناجح", "راسب")</f>
        <v>0</v>
      </c>
      <c r="AB66" s="8">
        <f>(E66*7 + G66*2 + I66*6 + K66*7 + M66*4 + O66*2 + Q66*4 + S66*4 + U66*2 + W66*0) / (7 + 2 + 6 + 7 + 4 + 2 + 4 + 4 + 2 + 0)</f>
        <v>0</v>
      </c>
      <c r="AC66" s="8">
        <f>IF(AB66&gt;=90,"امتياز",IF(AB66&gt;=80,"جيد جدا",IF(AB66&gt;=70,"جيد",IF(AB66&gt;=60,"متوسط",IF(AB66&gt;=50,"مقبول","راسب")))))</f>
        <v>0</v>
      </c>
      <c r="AD66" s="9"/>
      <c r="AE66" s="9"/>
      <c r="AF66" s="9"/>
    </row>
    <row r="67" spans="2:32">
      <c r="B67" s="9"/>
      <c r="C67" s="9"/>
      <c r="D67" s="9"/>
      <c r="AA67" s="9"/>
      <c r="AB67" s="9"/>
      <c r="AC67" s="9"/>
      <c r="AD67" s="9"/>
      <c r="AE67" s="9"/>
      <c r="AF67" s="9"/>
    </row>
    <row r="68" spans="2:32">
      <c r="B68" s="9"/>
      <c r="C68" s="9"/>
      <c r="D68" s="9"/>
      <c r="AA68" s="9"/>
      <c r="AB68" s="9"/>
      <c r="AC68" s="9"/>
      <c r="AD68" s="9"/>
      <c r="AE68" s="9"/>
      <c r="AF68" s="9"/>
    </row>
    <row r="69" spans="2:32">
      <c r="B69" s="7">
        <v>15</v>
      </c>
      <c r="C69" s="7" t="s">
        <v>78</v>
      </c>
      <c r="D69" t="s">
        <v>54</v>
      </c>
      <c r="F69">
        <f>IF(E69&gt;=90,"م",IF(E69&gt;=80,"جـ جـ",IF(E69&gt;=70,"جـ",IF(E69&gt;=60,"ط",IF(E69&gt;=50,"ل","ر")))))</f>
        <v>0</v>
      </c>
      <c r="H69">
        <f>IF(G69&gt;=90,"م",IF(G69&gt;=80,"جـ جـ",IF(G69&gt;=70,"جـ",IF(G69&gt;=60,"ط",IF(G69&gt;=50,"ل","ر")))))</f>
        <v>0</v>
      </c>
      <c r="J69">
        <f>IF(I69&gt;=90,"م",IF(I69&gt;=80,"جـ جـ",IF(I69&gt;=70,"جـ",IF(I69&gt;=60,"ط",IF(I69&gt;=50,"ل","ر")))))</f>
        <v>0</v>
      </c>
      <c r="L69">
        <f>IF(K69&gt;=90,"م",IF(K69&gt;=80,"جـ جـ",IF(K69&gt;=70,"جـ",IF(K69&gt;=60,"ط",IF(K69&gt;=50,"ل","ر")))))</f>
        <v>0</v>
      </c>
      <c r="N69">
        <f>IF(M69&gt;=90,"م",IF(M69&gt;=80,"جـ جـ",IF(M69&gt;=70,"جـ",IF(M69&gt;=60,"ط",IF(M69&gt;=50,"ل","ر")))))</f>
        <v>0</v>
      </c>
      <c r="P69">
        <f>IF(O69&gt;=90,"م",IF(O69&gt;=80,"جـ جـ",IF(O69&gt;=70,"جـ",IF(O69&gt;=60,"ط",IF(O69&gt;=50,"ل","ر")))))</f>
        <v>0</v>
      </c>
      <c r="R69">
        <f>IF(Q69&gt;=90,"م",IF(Q69&gt;=80,"جـ جـ",IF(Q69&gt;=70,"جـ",IF(Q69&gt;=60,"ط",IF(Q69&gt;=50,"ل","ر")))))</f>
        <v>0</v>
      </c>
      <c r="T69">
        <f>IF(S69&gt;=90,"م",IF(S69&gt;=80,"جـ جـ",IF(S69&gt;=70,"جـ",IF(S69&gt;=60,"ط",IF(S69&gt;=50,"ل","ر")))))</f>
        <v>0</v>
      </c>
      <c r="V69">
        <f>IF(U69&gt;=90,"م",IF(U69&gt;=80,"جـ جـ",IF(U69&gt;=70,"جـ",IF(U69&gt;=60,"ط",IF(U69&gt;=50,"ل","ر")))))</f>
        <v>0</v>
      </c>
      <c r="X69">
        <f>IF(W69&gt;=90,"م",IF(W69&gt;=80,"جـ جـ",IF(W69&gt;=70,"جـ",IF(W69&gt;=60,"ط",IF(W69&gt;=50,"ل","ر")))))</f>
        <v>0</v>
      </c>
      <c r="Z69">
        <f>IF(Y69&gt;=90,"م",IF(Y69&gt;=80,"جـ جـ",IF(Y69&gt;=70,"جـ",IF(Y69&gt;=60,"ط",IF(Y69&gt;=50,"ل","ر")))))</f>
        <v>0</v>
      </c>
      <c r="AA69" s="8">
        <f>IF(AND(E69&gt;=50, G69&gt;=50, I69&gt;=50, K69&gt;=50, M69&gt;=50, O69&gt;=50, Q69&gt;=50, S69&gt;=50, U69&gt;=50, W69&gt;=50, Y69&gt;=50), "ناجح", "راسب")</f>
        <v>0</v>
      </c>
      <c r="AB69" s="8">
        <f>(E69*7 + G69*2 + I69*6 + K69*7 + M69*4 + O69*2 + Q69*4 + S69*4 + U69*2 + W69*0) / (7 + 2 + 6 + 7 + 4 + 2 + 4 + 4 + 2 + 0)</f>
        <v>0</v>
      </c>
      <c r="AC69" s="8">
        <f>IF(AB69&gt;=90,"امتياز",IF(AB69&gt;=80,"جيد جدا",IF(AB69&gt;=70,"جيد",IF(AB69&gt;=60,"متوسط",IF(AB69&gt;=50,"مقبول","راسب")))))</f>
        <v>0</v>
      </c>
      <c r="AD69" s="9"/>
      <c r="AE69" s="9"/>
      <c r="AF69" s="9"/>
    </row>
    <row r="70" spans="2:32">
      <c r="B70" s="9"/>
      <c r="C70" s="9"/>
      <c r="D70" s="9"/>
      <c r="AA70" s="9"/>
      <c r="AB70" s="9"/>
      <c r="AC70" s="9"/>
      <c r="AD70" s="9"/>
      <c r="AE70" s="9"/>
      <c r="AF70" s="9"/>
    </row>
    <row r="71" spans="2:32">
      <c r="B71" s="9"/>
      <c r="C71" s="9"/>
      <c r="D71" s="9"/>
      <c r="AA71" s="9"/>
      <c r="AB71" s="9"/>
      <c r="AC71" s="9"/>
      <c r="AD71" s="9"/>
      <c r="AE71" s="9"/>
      <c r="AF71" s="9"/>
    </row>
    <row r="72" spans="2:32">
      <c r="B72" s="7">
        <v>16</v>
      </c>
      <c r="C72" s="7" t="s">
        <v>79</v>
      </c>
      <c r="D72" t="s">
        <v>54</v>
      </c>
      <c r="F72">
        <f>IF(E72&gt;=90,"م",IF(E72&gt;=80,"جـ جـ",IF(E72&gt;=70,"جـ",IF(E72&gt;=60,"ط",IF(E72&gt;=50,"ل","ر")))))</f>
        <v>0</v>
      </c>
      <c r="H72">
        <f>IF(G72&gt;=90,"م",IF(G72&gt;=80,"جـ جـ",IF(G72&gt;=70,"جـ",IF(G72&gt;=60,"ط",IF(G72&gt;=50,"ل","ر")))))</f>
        <v>0</v>
      </c>
      <c r="J72">
        <f>IF(I72&gt;=90,"م",IF(I72&gt;=80,"جـ جـ",IF(I72&gt;=70,"جـ",IF(I72&gt;=60,"ط",IF(I72&gt;=50,"ل","ر")))))</f>
        <v>0</v>
      </c>
      <c r="L72">
        <f>IF(K72&gt;=90,"م",IF(K72&gt;=80,"جـ جـ",IF(K72&gt;=70,"جـ",IF(K72&gt;=60,"ط",IF(K72&gt;=50,"ل","ر")))))</f>
        <v>0</v>
      </c>
      <c r="N72">
        <f>IF(M72&gt;=90,"م",IF(M72&gt;=80,"جـ جـ",IF(M72&gt;=70,"جـ",IF(M72&gt;=60,"ط",IF(M72&gt;=50,"ل","ر")))))</f>
        <v>0</v>
      </c>
      <c r="P72">
        <f>IF(O72&gt;=90,"م",IF(O72&gt;=80,"جـ جـ",IF(O72&gt;=70,"جـ",IF(O72&gt;=60,"ط",IF(O72&gt;=50,"ل","ر")))))</f>
        <v>0</v>
      </c>
      <c r="R72">
        <f>IF(Q72&gt;=90,"م",IF(Q72&gt;=80,"جـ جـ",IF(Q72&gt;=70,"جـ",IF(Q72&gt;=60,"ط",IF(Q72&gt;=50,"ل","ر")))))</f>
        <v>0</v>
      </c>
      <c r="T72">
        <f>IF(S72&gt;=90,"م",IF(S72&gt;=80,"جـ جـ",IF(S72&gt;=70,"جـ",IF(S72&gt;=60,"ط",IF(S72&gt;=50,"ل","ر")))))</f>
        <v>0</v>
      </c>
      <c r="V72">
        <f>IF(U72&gt;=90,"م",IF(U72&gt;=80,"جـ جـ",IF(U72&gt;=70,"جـ",IF(U72&gt;=60,"ط",IF(U72&gt;=50,"ل","ر")))))</f>
        <v>0</v>
      </c>
      <c r="X72">
        <f>IF(W72&gt;=90,"م",IF(W72&gt;=80,"جـ جـ",IF(W72&gt;=70,"جـ",IF(W72&gt;=60,"ط",IF(W72&gt;=50,"ل","ر")))))</f>
        <v>0</v>
      </c>
      <c r="Z72">
        <f>IF(Y72&gt;=90,"م",IF(Y72&gt;=80,"جـ جـ",IF(Y72&gt;=70,"جـ",IF(Y72&gt;=60,"ط",IF(Y72&gt;=50,"ل","ر")))))</f>
        <v>0</v>
      </c>
      <c r="AA72" s="8">
        <f>IF(AND(E72&gt;=50, G72&gt;=50, I72&gt;=50, K72&gt;=50, M72&gt;=50, O72&gt;=50, Q72&gt;=50, S72&gt;=50, U72&gt;=50, W72&gt;=50, Y72&gt;=50), "ناجح", "راسب")</f>
        <v>0</v>
      </c>
      <c r="AB72" s="8">
        <f>(E72*7 + G72*2 + I72*6 + K72*7 + M72*4 + O72*2 + Q72*4 + S72*4 + U72*2 + W72*0) / (7 + 2 + 6 + 7 + 4 + 2 + 4 + 4 + 2 + 0)</f>
        <v>0</v>
      </c>
      <c r="AC72" s="8">
        <f>IF(AB72&gt;=90,"امتياز",IF(AB72&gt;=80,"جيد جدا",IF(AB72&gt;=70,"جيد",IF(AB72&gt;=60,"متوسط",IF(AB72&gt;=50,"مقبول","راسب")))))</f>
        <v>0</v>
      </c>
      <c r="AD72" s="9"/>
      <c r="AE72" s="9"/>
      <c r="AF72" s="9"/>
    </row>
    <row r="73" spans="2:32">
      <c r="B73" s="9"/>
      <c r="C73" s="9"/>
      <c r="D73" s="9"/>
      <c r="AA73" s="9"/>
      <c r="AB73" s="9"/>
      <c r="AC73" s="9"/>
      <c r="AD73" s="9"/>
      <c r="AE73" s="9"/>
      <c r="AF73" s="9"/>
    </row>
    <row r="74" spans="2:32">
      <c r="B74" s="9"/>
      <c r="C74" s="9"/>
      <c r="D74" s="9"/>
      <c r="AA74" s="9"/>
      <c r="AB74" s="9"/>
      <c r="AC74" s="9"/>
      <c r="AD74" s="9"/>
      <c r="AE74" s="9"/>
      <c r="AF74" s="9"/>
    </row>
    <row r="75" spans="2:32">
      <c r="B75" s="7">
        <v>17</v>
      </c>
      <c r="C75" s="7" t="s">
        <v>80</v>
      </c>
      <c r="D75" t="s">
        <v>54</v>
      </c>
      <c r="F75">
        <f>IF(E75&gt;=90,"م",IF(E75&gt;=80,"جـ جـ",IF(E75&gt;=70,"جـ",IF(E75&gt;=60,"ط",IF(E75&gt;=50,"ل","ر")))))</f>
        <v>0</v>
      </c>
      <c r="H75">
        <f>IF(G75&gt;=90,"م",IF(G75&gt;=80,"جـ جـ",IF(G75&gt;=70,"جـ",IF(G75&gt;=60,"ط",IF(G75&gt;=50,"ل","ر")))))</f>
        <v>0</v>
      </c>
      <c r="J75">
        <f>IF(I75&gt;=90,"م",IF(I75&gt;=80,"جـ جـ",IF(I75&gt;=70,"جـ",IF(I75&gt;=60,"ط",IF(I75&gt;=50,"ل","ر")))))</f>
        <v>0</v>
      </c>
      <c r="L75">
        <f>IF(K75&gt;=90,"م",IF(K75&gt;=80,"جـ جـ",IF(K75&gt;=70,"جـ",IF(K75&gt;=60,"ط",IF(K75&gt;=50,"ل","ر")))))</f>
        <v>0</v>
      </c>
      <c r="N75">
        <f>IF(M75&gt;=90,"م",IF(M75&gt;=80,"جـ جـ",IF(M75&gt;=70,"جـ",IF(M75&gt;=60,"ط",IF(M75&gt;=50,"ل","ر")))))</f>
        <v>0</v>
      </c>
      <c r="P75">
        <f>IF(O75&gt;=90,"م",IF(O75&gt;=80,"جـ جـ",IF(O75&gt;=70,"جـ",IF(O75&gt;=60,"ط",IF(O75&gt;=50,"ل","ر")))))</f>
        <v>0</v>
      </c>
      <c r="R75">
        <f>IF(Q75&gt;=90,"م",IF(Q75&gt;=80,"جـ جـ",IF(Q75&gt;=70,"جـ",IF(Q75&gt;=60,"ط",IF(Q75&gt;=50,"ل","ر")))))</f>
        <v>0</v>
      </c>
      <c r="T75">
        <f>IF(S75&gt;=90,"م",IF(S75&gt;=80,"جـ جـ",IF(S75&gt;=70,"جـ",IF(S75&gt;=60,"ط",IF(S75&gt;=50,"ل","ر")))))</f>
        <v>0</v>
      </c>
      <c r="V75">
        <f>IF(U75&gt;=90,"م",IF(U75&gt;=80,"جـ جـ",IF(U75&gt;=70,"جـ",IF(U75&gt;=60,"ط",IF(U75&gt;=50,"ل","ر")))))</f>
        <v>0</v>
      </c>
      <c r="X75">
        <f>IF(W75&gt;=90,"م",IF(W75&gt;=80,"جـ جـ",IF(W75&gt;=70,"جـ",IF(W75&gt;=60,"ط",IF(W75&gt;=50,"ل","ر")))))</f>
        <v>0</v>
      </c>
      <c r="Z75">
        <f>IF(Y75&gt;=90,"م",IF(Y75&gt;=80,"جـ جـ",IF(Y75&gt;=70,"جـ",IF(Y75&gt;=60,"ط",IF(Y75&gt;=50,"ل","ر")))))</f>
        <v>0</v>
      </c>
      <c r="AA75" s="8">
        <f>IF(AND(E75&gt;=50, G75&gt;=50, I75&gt;=50, K75&gt;=50, M75&gt;=50, O75&gt;=50, Q75&gt;=50, S75&gt;=50, U75&gt;=50, W75&gt;=50, Y75&gt;=50), "ناجح", "راسب")</f>
        <v>0</v>
      </c>
      <c r="AB75" s="8">
        <f>(E75*7 + G75*2 + I75*6 + K75*7 + M75*4 + O75*2 + Q75*4 + S75*4 + U75*2 + W75*0) / (7 + 2 + 6 + 7 + 4 + 2 + 4 + 4 + 2 + 0)</f>
        <v>0</v>
      </c>
      <c r="AC75" s="8">
        <f>IF(AB75&gt;=90,"امتياز",IF(AB75&gt;=80,"جيد جدا",IF(AB75&gt;=70,"جيد",IF(AB75&gt;=60,"متوسط",IF(AB75&gt;=50,"مقبول","راسب")))))</f>
        <v>0</v>
      </c>
      <c r="AD75" s="9"/>
      <c r="AE75" s="9"/>
      <c r="AF75" s="9"/>
    </row>
    <row r="76" spans="2:32">
      <c r="B76" s="9"/>
      <c r="C76" s="9"/>
      <c r="D76" s="9"/>
      <c r="AA76" s="9"/>
      <c r="AB76" s="9"/>
      <c r="AC76" s="9"/>
      <c r="AD76" s="9"/>
      <c r="AE76" s="9"/>
      <c r="AF76" s="9"/>
    </row>
    <row r="77" spans="2:32">
      <c r="B77" s="9"/>
      <c r="C77" s="9"/>
      <c r="D77" s="9"/>
      <c r="AA77" s="9"/>
      <c r="AB77" s="9"/>
      <c r="AC77" s="9"/>
      <c r="AD77" s="9"/>
      <c r="AE77" s="9"/>
      <c r="AF77" s="9"/>
    </row>
    <row r="78" spans="2:32">
      <c r="B78" s="7">
        <v>18</v>
      </c>
      <c r="C78" s="7" t="s">
        <v>81</v>
      </c>
      <c r="D78" t="s">
        <v>54</v>
      </c>
      <c r="F78">
        <f>IF(E78&gt;=90,"م",IF(E78&gt;=80,"جـ جـ",IF(E78&gt;=70,"جـ",IF(E78&gt;=60,"ط",IF(E78&gt;=50,"ل","ر")))))</f>
        <v>0</v>
      </c>
      <c r="H78">
        <f>IF(G78&gt;=90,"م",IF(G78&gt;=80,"جـ جـ",IF(G78&gt;=70,"جـ",IF(G78&gt;=60,"ط",IF(G78&gt;=50,"ل","ر")))))</f>
        <v>0</v>
      </c>
      <c r="J78">
        <f>IF(I78&gt;=90,"م",IF(I78&gt;=80,"جـ جـ",IF(I78&gt;=70,"جـ",IF(I78&gt;=60,"ط",IF(I78&gt;=50,"ل","ر")))))</f>
        <v>0</v>
      </c>
      <c r="L78">
        <f>IF(K78&gt;=90,"م",IF(K78&gt;=80,"جـ جـ",IF(K78&gt;=70,"جـ",IF(K78&gt;=60,"ط",IF(K78&gt;=50,"ل","ر")))))</f>
        <v>0</v>
      </c>
      <c r="N78">
        <f>IF(M78&gt;=90,"م",IF(M78&gt;=80,"جـ جـ",IF(M78&gt;=70,"جـ",IF(M78&gt;=60,"ط",IF(M78&gt;=50,"ل","ر")))))</f>
        <v>0</v>
      </c>
      <c r="P78">
        <f>IF(O78&gt;=90,"م",IF(O78&gt;=80,"جـ جـ",IF(O78&gt;=70,"جـ",IF(O78&gt;=60,"ط",IF(O78&gt;=50,"ل","ر")))))</f>
        <v>0</v>
      </c>
      <c r="R78">
        <f>IF(Q78&gt;=90,"م",IF(Q78&gt;=80,"جـ جـ",IF(Q78&gt;=70,"جـ",IF(Q78&gt;=60,"ط",IF(Q78&gt;=50,"ل","ر")))))</f>
        <v>0</v>
      </c>
      <c r="T78">
        <f>IF(S78&gt;=90,"م",IF(S78&gt;=80,"جـ جـ",IF(S78&gt;=70,"جـ",IF(S78&gt;=60,"ط",IF(S78&gt;=50,"ل","ر")))))</f>
        <v>0</v>
      </c>
      <c r="V78">
        <f>IF(U78&gt;=90,"م",IF(U78&gt;=80,"جـ جـ",IF(U78&gt;=70,"جـ",IF(U78&gt;=60,"ط",IF(U78&gt;=50,"ل","ر")))))</f>
        <v>0</v>
      </c>
      <c r="X78">
        <f>IF(W78&gt;=90,"م",IF(W78&gt;=80,"جـ جـ",IF(W78&gt;=70,"جـ",IF(W78&gt;=60,"ط",IF(W78&gt;=50,"ل","ر")))))</f>
        <v>0</v>
      </c>
      <c r="Z78">
        <f>IF(Y78&gt;=90,"م",IF(Y78&gt;=80,"جـ جـ",IF(Y78&gt;=70,"جـ",IF(Y78&gt;=60,"ط",IF(Y78&gt;=50,"ل","ر")))))</f>
        <v>0</v>
      </c>
      <c r="AA78" s="8">
        <f>IF(AND(E78&gt;=50, G78&gt;=50, I78&gt;=50, K78&gt;=50, M78&gt;=50, O78&gt;=50, Q78&gt;=50, S78&gt;=50, U78&gt;=50, W78&gt;=50, Y78&gt;=50), "ناجح", "راسب")</f>
        <v>0</v>
      </c>
      <c r="AB78" s="8">
        <f>(E78*7 + G78*2 + I78*6 + K78*7 + M78*4 + O78*2 + Q78*4 + S78*4 + U78*2 + W78*0) / (7 + 2 + 6 + 7 + 4 + 2 + 4 + 4 + 2 + 0)</f>
        <v>0</v>
      </c>
      <c r="AC78" s="8">
        <f>IF(AB78&gt;=90,"امتياز",IF(AB78&gt;=80,"جيد جدا",IF(AB78&gt;=70,"جيد",IF(AB78&gt;=60,"متوسط",IF(AB78&gt;=50,"مقبول","راسب")))))</f>
        <v>0</v>
      </c>
      <c r="AD78" s="9"/>
      <c r="AE78" s="9"/>
      <c r="AF78" s="9"/>
    </row>
    <row r="79" spans="2:32">
      <c r="B79" s="9"/>
      <c r="C79" s="9"/>
      <c r="D79" s="9"/>
      <c r="AA79" s="9"/>
      <c r="AB79" s="9"/>
      <c r="AC79" s="9"/>
      <c r="AD79" s="9"/>
      <c r="AE79" s="9"/>
      <c r="AF79" s="9"/>
    </row>
    <row r="80" spans="2:32">
      <c r="B80" s="9"/>
      <c r="C80" s="9"/>
      <c r="D80" s="9"/>
      <c r="AA80" s="9"/>
      <c r="AB80" s="9"/>
      <c r="AC80" s="9"/>
      <c r="AD80" s="9"/>
      <c r="AE80" s="9"/>
      <c r="AF80" s="9"/>
    </row>
    <row r="81" spans="2:32">
      <c r="B81" s="7">
        <v>19</v>
      </c>
      <c r="C81" s="7" t="s">
        <v>82</v>
      </c>
      <c r="D81" t="s">
        <v>54</v>
      </c>
      <c r="F81">
        <f>IF(E81&gt;=90,"م",IF(E81&gt;=80,"جـ جـ",IF(E81&gt;=70,"جـ",IF(E81&gt;=60,"ط",IF(E81&gt;=50,"ل","ر")))))</f>
        <v>0</v>
      </c>
      <c r="H81">
        <f>IF(G81&gt;=90,"م",IF(G81&gt;=80,"جـ جـ",IF(G81&gt;=70,"جـ",IF(G81&gt;=60,"ط",IF(G81&gt;=50,"ل","ر")))))</f>
        <v>0</v>
      </c>
      <c r="J81">
        <f>IF(I81&gt;=90,"م",IF(I81&gt;=80,"جـ جـ",IF(I81&gt;=70,"جـ",IF(I81&gt;=60,"ط",IF(I81&gt;=50,"ل","ر")))))</f>
        <v>0</v>
      </c>
      <c r="L81">
        <f>IF(K81&gt;=90,"م",IF(K81&gt;=80,"جـ جـ",IF(K81&gt;=70,"جـ",IF(K81&gt;=60,"ط",IF(K81&gt;=50,"ل","ر")))))</f>
        <v>0</v>
      </c>
      <c r="N81">
        <f>IF(M81&gt;=90,"م",IF(M81&gt;=80,"جـ جـ",IF(M81&gt;=70,"جـ",IF(M81&gt;=60,"ط",IF(M81&gt;=50,"ل","ر")))))</f>
        <v>0</v>
      </c>
      <c r="P81">
        <f>IF(O81&gt;=90,"م",IF(O81&gt;=80,"جـ جـ",IF(O81&gt;=70,"جـ",IF(O81&gt;=60,"ط",IF(O81&gt;=50,"ل","ر")))))</f>
        <v>0</v>
      </c>
      <c r="R81">
        <f>IF(Q81&gt;=90,"م",IF(Q81&gt;=80,"جـ جـ",IF(Q81&gt;=70,"جـ",IF(Q81&gt;=60,"ط",IF(Q81&gt;=50,"ل","ر")))))</f>
        <v>0</v>
      </c>
      <c r="T81">
        <f>IF(S81&gt;=90,"م",IF(S81&gt;=80,"جـ جـ",IF(S81&gt;=70,"جـ",IF(S81&gt;=60,"ط",IF(S81&gt;=50,"ل","ر")))))</f>
        <v>0</v>
      </c>
      <c r="V81">
        <f>IF(U81&gt;=90,"م",IF(U81&gt;=80,"جـ جـ",IF(U81&gt;=70,"جـ",IF(U81&gt;=60,"ط",IF(U81&gt;=50,"ل","ر")))))</f>
        <v>0</v>
      </c>
      <c r="X81">
        <f>IF(W81&gt;=90,"م",IF(W81&gt;=80,"جـ جـ",IF(W81&gt;=70,"جـ",IF(W81&gt;=60,"ط",IF(W81&gt;=50,"ل","ر")))))</f>
        <v>0</v>
      </c>
      <c r="Z81">
        <f>IF(Y81&gt;=90,"م",IF(Y81&gt;=80,"جـ جـ",IF(Y81&gt;=70,"جـ",IF(Y81&gt;=60,"ط",IF(Y81&gt;=50,"ل","ر")))))</f>
        <v>0</v>
      </c>
      <c r="AA81" s="8">
        <f>IF(AND(E81&gt;=50, G81&gt;=50, I81&gt;=50, K81&gt;=50, M81&gt;=50, O81&gt;=50, Q81&gt;=50, S81&gt;=50, U81&gt;=50, W81&gt;=50, Y81&gt;=50), "ناجح", "راسب")</f>
        <v>0</v>
      </c>
      <c r="AB81" s="8">
        <f>(E81*7 + G81*2 + I81*6 + K81*7 + M81*4 + O81*2 + Q81*4 + S81*4 + U81*2 + W81*0) / (7 + 2 + 6 + 7 + 4 + 2 + 4 + 4 + 2 + 0)</f>
        <v>0</v>
      </c>
      <c r="AC81" s="8">
        <f>IF(AB81&gt;=90,"امتياز",IF(AB81&gt;=80,"جيد جدا",IF(AB81&gt;=70,"جيد",IF(AB81&gt;=60,"متوسط",IF(AB81&gt;=50,"مقبول","راسب")))))</f>
        <v>0</v>
      </c>
      <c r="AD81" s="9"/>
      <c r="AE81" s="9"/>
      <c r="AF81" s="9"/>
    </row>
    <row r="82" spans="2:32">
      <c r="B82" s="9"/>
      <c r="C82" s="9"/>
      <c r="D82" s="9"/>
      <c r="AA82" s="9"/>
      <c r="AB82" s="9"/>
      <c r="AC82" s="9"/>
      <c r="AD82" s="9"/>
      <c r="AE82" s="9"/>
      <c r="AF82" s="9"/>
    </row>
    <row r="83" spans="2:32">
      <c r="B83" s="9"/>
      <c r="C83" s="9"/>
      <c r="D83" s="9"/>
      <c r="AA83" s="9"/>
      <c r="AB83" s="9"/>
      <c r="AC83" s="9"/>
      <c r="AD83" s="9"/>
      <c r="AE83" s="9"/>
      <c r="AF83" s="9"/>
    </row>
    <row r="84" spans="2:32">
      <c r="B84" s="7">
        <v>20</v>
      </c>
      <c r="C84" s="7" t="s">
        <v>83</v>
      </c>
      <c r="D84" t="s">
        <v>54</v>
      </c>
      <c r="F84">
        <f>IF(E84&gt;=90,"م",IF(E84&gt;=80,"جـ جـ",IF(E84&gt;=70,"جـ",IF(E84&gt;=60,"ط",IF(E84&gt;=50,"ل","ر")))))</f>
        <v>0</v>
      </c>
      <c r="H84">
        <f>IF(G84&gt;=90,"م",IF(G84&gt;=80,"جـ جـ",IF(G84&gt;=70,"جـ",IF(G84&gt;=60,"ط",IF(G84&gt;=50,"ل","ر")))))</f>
        <v>0</v>
      </c>
      <c r="J84">
        <f>IF(I84&gt;=90,"م",IF(I84&gt;=80,"جـ جـ",IF(I84&gt;=70,"جـ",IF(I84&gt;=60,"ط",IF(I84&gt;=50,"ل","ر")))))</f>
        <v>0</v>
      </c>
      <c r="L84">
        <f>IF(K84&gt;=90,"م",IF(K84&gt;=80,"جـ جـ",IF(K84&gt;=70,"جـ",IF(K84&gt;=60,"ط",IF(K84&gt;=50,"ل","ر")))))</f>
        <v>0</v>
      </c>
      <c r="N84">
        <f>IF(M84&gt;=90,"م",IF(M84&gt;=80,"جـ جـ",IF(M84&gt;=70,"جـ",IF(M84&gt;=60,"ط",IF(M84&gt;=50,"ل","ر")))))</f>
        <v>0</v>
      </c>
      <c r="P84">
        <f>IF(O84&gt;=90,"م",IF(O84&gt;=80,"جـ جـ",IF(O84&gt;=70,"جـ",IF(O84&gt;=60,"ط",IF(O84&gt;=50,"ل","ر")))))</f>
        <v>0</v>
      </c>
      <c r="R84">
        <f>IF(Q84&gt;=90,"م",IF(Q84&gt;=80,"جـ جـ",IF(Q84&gt;=70,"جـ",IF(Q84&gt;=60,"ط",IF(Q84&gt;=50,"ل","ر")))))</f>
        <v>0</v>
      </c>
      <c r="T84">
        <f>IF(S84&gt;=90,"م",IF(S84&gt;=80,"جـ جـ",IF(S84&gt;=70,"جـ",IF(S84&gt;=60,"ط",IF(S84&gt;=50,"ل","ر")))))</f>
        <v>0</v>
      </c>
      <c r="V84">
        <f>IF(U84&gt;=90,"م",IF(U84&gt;=80,"جـ جـ",IF(U84&gt;=70,"جـ",IF(U84&gt;=60,"ط",IF(U84&gt;=50,"ل","ر")))))</f>
        <v>0</v>
      </c>
      <c r="X84">
        <f>IF(W84&gt;=90,"م",IF(W84&gt;=80,"جـ جـ",IF(W84&gt;=70,"جـ",IF(W84&gt;=60,"ط",IF(W84&gt;=50,"ل","ر")))))</f>
        <v>0</v>
      </c>
      <c r="Z84">
        <f>IF(Y84&gt;=90,"م",IF(Y84&gt;=80,"جـ جـ",IF(Y84&gt;=70,"جـ",IF(Y84&gt;=60,"ط",IF(Y84&gt;=50,"ل","ر")))))</f>
        <v>0</v>
      </c>
      <c r="AA84" s="8">
        <f>IF(AND(E84&gt;=50, G84&gt;=50, I84&gt;=50, K84&gt;=50, M84&gt;=50, O84&gt;=50, Q84&gt;=50, S84&gt;=50, U84&gt;=50, W84&gt;=50, Y84&gt;=50), "ناجح", "راسب")</f>
        <v>0</v>
      </c>
      <c r="AB84" s="8">
        <f>(E84*7 + G84*2 + I84*6 + K84*7 + M84*4 + O84*2 + Q84*4 + S84*4 + U84*2 + W84*0) / (7 + 2 + 6 + 7 + 4 + 2 + 4 + 4 + 2 + 0)</f>
        <v>0</v>
      </c>
      <c r="AC84" s="8">
        <f>IF(AB84&gt;=90,"امتياز",IF(AB84&gt;=80,"جيد جدا",IF(AB84&gt;=70,"جيد",IF(AB84&gt;=60,"متوسط",IF(AB84&gt;=50,"مقبول","راسب")))))</f>
        <v>0</v>
      </c>
      <c r="AD84" s="9"/>
      <c r="AE84" s="9"/>
      <c r="AF84" s="9"/>
    </row>
    <row r="85" spans="2:32">
      <c r="B85" s="9"/>
      <c r="C85" s="9"/>
      <c r="D85" s="9"/>
      <c r="AA85" s="9"/>
      <c r="AB85" s="9"/>
      <c r="AC85" s="9"/>
      <c r="AD85" s="9"/>
      <c r="AE85" s="9"/>
      <c r="AF85" s="9"/>
    </row>
    <row r="86" spans="2:32">
      <c r="B86" s="9"/>
      <c r="C86" s="9"/>
      <c r="D86" s="9"/>
      <c r="AA86" s="9"/>
      <c r="AB86" s="9"/>
      <c r="AC86" s="9"/>
      <c r="AD86" s="9"/>
      <c r="AE86" s="9"/>
      <c r="AF86" s="9"/>
    </row>
    <row r="88" spans="2:32">
      <c r="C88" s="9" t="s">
        <v>29</v>
      </c>
    </row>
    <row r="89" spans="2:32">
      <c r="C89" s="9" t="s">
        <v>30</v>
      </c>
      <c r="F89" s="9" t="s">
        <v>33</v>
      </c>
      <c r="K89" s="9" t="s">
        <v>36</v>
      </c>
      <c r="P89" s="9" t="s">
        <v>39</v>
      </c>
      <c r="W89" s="9" t="s">
        <v>42</v>
      </c>
      <c r="AB89" s="9" t="s">
        <v>42</v>
      </c>
      <c r="AF89" s="9" t="s">
        <v>45</v>
      </c>
    </row>
    <row r="90" spans="2:32">
      <c r="C90" s="9" t="s">
        <v>31</v>
      </c>
      <c r="F90" s="9" t="s">
        <v>34</v>
      </c>
      <c r="K90" s="9" t="s">
        <v>37</v>
      </c>
      <c r="P90" s="9" t="s">
        <v>40</v>
      </c>
      <c r="W90" s="9" t="s">
        <v>43</v>
      </c>
      <c r="AB90" s="9" t="s">
        <v>44</v>
      </c>
      <c r="AF90" s="9" t="s">
        <v>46</v>
      </c>
    </row>
    <row r="91" spans="2:32">
      <c r="C91" s="9" t="s">
        <v>32</v>
      </c>
      <c r="F91" s="9" t="s">
        <v>35</v>
      </c>
      <c r="K91" s="9" t="s">
        <v>38</v>
      </c>
      <c r="P91" s="9" t="s">
        <v>41</v>
      </c>
    </row>
    <row r="93" spans="2:32">
      <c r="B93" s="9" t="s">
        <v>47</v>
      </c>
      <c r="C93" s="9" t="s">
        <v>48</v>
      </c>
    </row>
    <row r="94" spans="2:32">
      <c r="B94" s="9" t="s">
        <v>49</v>
      </c>
      <c r="C94" s="9" t="s">
        <v>50</v>
      </c>
    </row>
    <row r="95" spans="2:32">
      <c r="B95" s="9" t="s">
        <v>51</v>
      </c>
      <c r="C95" s="9" t="s">
        <v>52</v>
      </c>
    </row>
    <row r="101" spans="2:32">
      <c r="C101" s="1" t="s">
        <v>1</v>
      </c>
      <c r="G101" s="2" t="s">
        <v>84</v>
      </c>
      <c r="H101" s="2"/>
      <c r="I101" s="2"/>
      <c r="J101" s="2"/>
      <c r="K101" s="2"/>
      <c r="L101" s="2"/>
      <c r="M101" s="2"/>
      <c r="N101" s="2"/>
      <c r="AF101" s="1" t="s">
        <v>3</v>
      </c>
    </row>
    <row r="102" spans="2:32">
      <c r="C102" s="1" t="s">
        <v>2</v>
      </c>
      <c r="AF102" s="1" t="s">
        <v>4</v>
      </c>
    </row>
    <row r="103" spans="2:32">
      <c r="AF103" s="1" t="s">
        <v>5</v>
      </c>
    </row>
    <row r="104" spans="2:32">
      <c r="G104" s="1" t="s">
        <v>6</v>
      </c>
    </row>
    <row r="105" spans="2:32">
      <c r="B105" s="3" t="s">
        <v>8</v>
      </c>
      <c r="C105" s="4" t="s">
        <v>7</v>
      </c>
      <c r="D105" s="3" t="s">
        <v>10</v>
      </c>
      <c r="E105" s="5">
        <v>7</v>
      </c>
      <c r="F105" s="5"/>
      <c r="G105" s="5">
        <v>2</v>
      </c>
      <c r="H105" s="5"/>
      <c r="I105" s="5">
        <v>6</v>
      </c>
      <c r="J105" s="5"/>
      <c r="K105" s="5">
        <v>7</v>
      </c>
      <c r="L105" s="5"/>
      <c r="M105" s="5">
        <v>4</v>
      </c>
      <c r="N105" s="5"/>
      <c r="O105" s="5">
        <v>2</v>
      </c>
      <c r="P105" s="5"/>
      <c r="Q105" s="5">
        <v>4</v>
      </c>
      <c r="R105" s="5"/>
      <c r="S105" s="5">
        <v>4</v>
      </c>
      <c r="T105" s="5"/>
      <c r="U105" s="5">
        <v>2</v>
      </c>
      <c r="V105" s="5"/>
      <c r="W105" s="5">
        <v>0</v>
      </c>
      <c r="X105" s="5"/>
      <c r="Y105" s="5">
        <v>3</v>
      </c>
      <c r="Z105" s="5"/>
      <c r="AA105" s="3" t="s">
        <v>23</v>
      </c>
      <c r="AB105" s="3" t="s">
        <v>24</v>
      </c>
      <c r="AC105" s="3" t="s">
        <v>25</v>
      </c>
      <c r="AD105" s="3" t="s">
        <v>26</v>
      </c>
      <c r="AE105" s="3" t="s">
        <v>27</v>
      </c>
      <c r="AF105" s="5" t="s">
        <v>28</v>
      </c>
    </row>
    <row r="106" spans="2:32" ht="40" customHeight="1">
      <c r="B106" s="3"/>
      <c r="C106" s="6" t="s">
        <v>11</v>
      </c>
      <c r="D106" s="3"/>
      <c r="E106" s="5" t="s">
        <v>13</v>
      </c>
      <c r="F106" s="5"/>
      <c r="G106" s="5" t="s">
        <v>14</v>
      </c>
      <c r="H106" s="5"/>
      <c r="I106" s="5" t="s">
        <v>15</v>
      </c>
      <c r="J106" s="5"/>
      <c r="K106" s="5" t="s">
        <v>16</v>
      </c>
      <c r="L106" s="5"/>
      <c r="M106" s="5" t="s">
        <v>17</v>
      </c>
      <c r="N106" s="5"/>
      <c r="O106" s="5" t="s">
        <v>18</v>
      </c>
      <c r="P106" s="5"/>
      <c r="Q106" s="5" t="s">
        <v>19</v>
      </c>
      <c r="R106" s="5"/>
      <c r="S106" s="5" t="s">
        <v>20</v>
      </c>
      <c r="T106" s="5"/>
      <c r="U106" s="5" t="s">
        <v>21</v>
      </c>
      <c r="V106" s="5"/>
      <c r="W106" s="5" t="s">
        <v>22</v>
      </c>
      <c r="X106" s="5"/>
      <c r="Y106" s="5" t="s">
        <v>21</v>
      </c>
      <c r="Z106" s="5"/>
      <c r="AA106" s="3"/>
      <c r="AB106" s="3"/>
      <c r="AC106" s="3"/>
      <c r="AD106" s="3"/>
      <c r="AE106" s="3"/>
      <c r="AF106" s="5"/>
    </row>
    <row r="107" spans="2:32">
      <c r="B107" s="7">
        <v>21</v>
      </c>
      <c r="C107" s="7" t="s">
        <v>85</v>
      </c>
      <c r="D107" t="s">
        <v>54</v>
      </c>
      <c r="F107">
        <f>IF(E107&gt;=90,"م",IF(E107&gt;=80,"جـ جـ",IF(E107&gt;=70,"جـ",IF(E107&gt;=60,"ط",IF(E107&gt;=50,"ل","ر")))))</f>
        <v>0</v>
      </c>
      <c r="H107">
        <f>IF(G107&gt;=90,"م",IF(G107&gt;=80,"جـ جـ",IF(G107&gt;=70,"جـ",IF(G107&gt;=60,"ط",IF(G107&gt;=50,"ل","ر")))))</f>
        <v>0</v>
      </c>
      <c r="J107">
        <f>IF(I107&gt;=90,"م",IF(I107&gt;=80,"جـ جـ",IF(I107&gt;=70,"جـ",IF(I107&gt;=60,"ط",IF(I107&gt;=50,"ل","ر")))))</f>
        <v>0</v>
      </c>
      <c r="L107">
        <f>IF(K107&gt;=90,"م",IF(K107&gt;=80,"جـ جـ",IF(K107&gt;=70,"جـ",IF(K107&gt;=60,"ط",IF(K107&gt;=50,"ل","ر")))))</f>
        <v>0</v>
      </c>
      <c r="N107">
        <f>IF(M107&gt;=90,"م",IF(M107&gt;=80,"جـ جـ",IF(M107&gt;=70,"جـ",IF(M107&gt;=60,"ط",IF(M107&gt;=50,"ل","ر")))))</f>
        <v>0</v>
      </c>
      <c r="P107">
        <f>IF(O107&gt;=90,"م",IF(O107&gt;=80,"جـ جـ",IF(O107&gt;=70,"جـ",IF(O107&gt;=60,"ط",IF(O107&gt;=50,"ل","ر")))))</f>
        <v>0</v>
      </c>
      <c r="R107">
        <f>IF(Q107&gt;=90,"م",IF(Q107&gt;=80,"جـ جـ",IF(Q107&gt;=70,"جـ",IF(Q107&gt;=60,"ط",IF(Q107&gt;=50,"ل","ر")))))</f>
        <v>0</v>
      </c>
      <c r="T107">
        <f>IF(S107&gt;=90,"م",IF(S107&gt;=80,"جـ جـ",IF(S107&gt;=70,"جـ",IF(S107&gt;=60,"ط",IF(S107&gt;=50,"ل","ر")))))</f>
        <v>0</v>
      </c>
      <c r="V107">
        <f>IF(U107&gt;=90,"م",IF(U107&gt;=80,"جـ جـ",IF(U107&gt;=70,"جـ",IF(U107&gt;=60,"ط",IF(U107&gt;=50,"ل","ر")))))</f>
        <v>0</v>
      </c>
      <c r="X107">
        <f>IF(W107&gt;=90,"م",IF(W107&gt;=80,"جـ جـ",IF(W107&gt;=70,"جـ",IF(W107&gt;=60,"ط",IF(W107&gt;=50,"ل","ر")))))</f>
        <v>0</v>
      </c>
      <c r="Z107">
        <f>IF(Y107&gt;=90,"م",IF(Y107&gt;=80,"جـ جـ",IF(Y107&gt;=70,"جـ",IF(Y107&gt;=60,"ط",IF(Y107&gt;=50,"ل","ر")))))</f>
        <v>0</v>
      </c>
      <c r="AA107" s="8">
        <f>IF(AND(E107&gt;=50, G107&gt;=50, I107&gt;=50, K107&gt;=50, M107&gt;=50, O107&gt;=50, Q107&gt;=50, S107&gt;=50, U107&gt;=50, W107&gt;=50, Y107&gt;=50), "ناجح", "راسب")</f>
        <v>0</v>
      </c>
      <c r="AB107" s="8">
        <f>(E107*7 + G107*2 + I107*6 + K107*7 + M107*4 + O107*2 + Q107*4 + S107*4 + U107*2 + W107*0) / (7 + 2 + 6 + 7 + 4 + 2 + 4 + 4 + 2 + 0)</f>
        <v>0</v>
      </c>
      <c r="AC107" s="8">
        <f>IF(AB107&gt;=90,"امتياز",IF(AB107&gt;=80,"جيد جدا",IF(AB107&gt;=70,"جيد",IF(AB107&gt;=60,"متوسط",IF(AB107&gt;=50,"مقبول","راسب")))))</f>
        <v>0</v>
      </c>
      <c r="AD107" s="9"/>
      <c r="AE107" s="9"/>
      <c r="AF107" s="9"/>
    </row>
    <row r="108" spans="2:32">
      <c r="B108" s="9"/>
      <c r="C108" s="9"/>
      <c r="D108" s="9"/>
      <c r="AA108" s="9"/>
      <c r="AB108" s="9"/>
      <c r="AC108" s="9"/>
      <c r="AD108" s="9"/>
      <c r="AE108" s="9"/>
      <c r="AF108" s="9"/>
    </row>
    <row r="109" spans="2:32">
      <c r="B109" s="9"/>
      <c r="C109" s="9"/>
      <c r="D109" s="9"/>
      <c r="AA109" s="9"/>
      <c r="AB109" s="9"/>
      <c r="AC109" s="9"/>
      <c r="AD109" s="9"/>
      <c r="AE109" s="9"/>
      <c r="AF109" s="9"/>
    </row>
    <row r="110" spans="2:32">
      <c r="B110" s="7">
        <v>22</v>
      </c>
      <c r="C110" s="7" t="s">
        <v>86</v>
      </c>
      <c r="D110" t="s">
        <v>54</v>
      </c>
      <c r="F110">
        <f>IF(E110&gt;=90,"م",IF(E110&gt;=80,"جـ جـ",IF(E110&gt;=70,"جـ",IF(E110&gt;=60,"ط",IF(E110&gt;=50,"ل","ر")))))</f>
        <v>0</v>
      </c>
      <c r="H110">
        <f>IF(G110&gt;=90,"م",IF(G110&gt;=80,"جـ جـ",IF(G110&gt;=70,"جـ",IF(G110&gt;=60,"ط",IF(G110&gt;=50,"ل","ر")))))</f>
        <v>0</v>
      </c>
      <c r="J110">
        <f>IF(I110&gt;=90,"م",IF(I110&gt;=80,"جـ جـ",IF(I110&gt;=70,"جـ",IF(I110&gt;=60,"ط",IF(I110&gt;=50,"ل","ر")))))</f>
        <v>0</v>
      </c>
      <c r="L110">
        <f>IF(K110&gt;=90,"م",IF(K110&gt;=80,"جـ جـ",IF(K110&gt;=70,"جـ",IF(K110&gt;=60,"ط",IF(K110&gt;=50,"ل","ر")))))</f>
        <v>0</v>
      </c>
      <c r="N110">
        <f>IF(M110&gt;=90,"م",IF(M110&gt;=80,"جـ جـ",IF(M110&gt;=70,"جـ",IF(M110&gt;=60,"ط",IF(M110&gt;=50,"ل","ر")))))</f>
        <v>0</v>
      </c>
      <c r="P110">
        <f>IF(O110&gt;=90,"م",IF(O110&gt;=80,"جـ جـ",IF(O110&gt;=70,"جـ",IF(O110&gt;=60,"ط",IF(O110&gt;=50,"ل","ر")))))</f>
        <v>0</v>
      </c>
      <c r="R110">
        <f>IF(Q110&gt;=90,"م",IF(Q110&gt;=80,"جـ جـ",IF(Q110&gt;=70,"جـ",IF(Q110&gt;=60,"ط",IF(Q110&gt;=50,"ل","ر")))))</f>
        <v>0</v>
      </c>
      <c r="T110">
        <f>IF(S110&gt;=90,"م",IF(S110&gt;=80,"جـ جـ",IF(S110&gt;=70,"جـ",IF(S110&gt;=60,"ط",IF(S110&gt;=50,"ل","ر")))))</f>
        <v>0</v>
      </c>
      <c r="V110">
        <f>IF(U110&gt;=90,"م",IF(U110&gt;=80,"جـ جـ",IF(U110&gt;=70,"جـ",IF(U110&gt;=60,"ط",IF(U110&gt;=50,"ل","ر")))))</f>
        <v>0</v>
      </c>
      <c r="X110">
        <f>IF(W110&gt;=90,"م",IF(W110&gt;=80,"جـ جـ",IF(W110&gt;=70,"جـ",IF(W110&gt;=60,"ط",IF(W110&gt;=50,"ل","ر")))))</f>
        <v>0</v>
      </c>
      <c r="Z110">
        <f>IF(Y110&gt;=90,"م",IF(Y110&gt;=80,"جـ جـ",IF(Y110&gt;=70,"جـ",IF(Y110&gt;=60,"ط",IF(Y110&gt;=50,"ل","ر")))))</f>
        <v>0</v>
      </c>
      <c r="AA110" s="8">
        <f>IF(AND(E110&gt;=50, G110&gt;=50, I110&gt;=50, K110&gt;=50, M110&gt;=50, O110&gt;=50, Q110&gt;=50, S110&gt;=50, U110&gt;=50, W110&gt;=50, Y110&gt;=50), "ناجح", "راسب")</f>
        <v>0</v>
      </c>
      <c r="AB110" s="8">
        <f>(E110*7 + G110*2 + I110*6 + K110*7 + M110*4 + O110*2 + Q110*4 + S110*4 + U110*2 + W110*0) / (7 + 2 + 6 + 7 + 4 + 2 + 4 + 4 + 2 + 0)</f>
        <v>0</v>
      </c>
      <c r="AC110" s="8">
        <f>IF(AB110&gt;=90,"امتياز",IF(AB110&gt;=80,"جيد جدا",IF(AB110&gt;=70,"جيد",IF(AB110&gt;=60,"متوسط",IF(AB110&gt;=50,"مقبول","راسب")))))</f>
        <v>0</v>
      </c>
      <c r="AD110" s="9"/>
      <c r="AE110" s="9"/>
      <c r="AF110" s="9"/>
    </row>
    <row r="111" spans="2:32">
      <c r="B111" s="9"/>
      <c r="C111" s="9"/>
      <c r="D111" s="9"/>
      <c r="AA111" s="9"/>
      <c r="AB111" s="9"/>
      <c r="AC111" s="9"/>
      <c r="AD111" s="9"/>
      <c r="AE111" s="9"/>
      <c r="AF111" s="9"/>
    </row>
    <row r="112" spans="2:32">
      <c r="B112" s="9"/>
      <c r="C112" s="9"/>
      <c r="D112" s="9"/>
      <c r="AA112" s="9"/>
      <c r="AB112" s="9"/>
      <c r="AC112" s="9"/>
      <c r="AD112" s="9"/>
      <c r="AE112" s="9"/>
      <c r="AF112" s="9"/>
    </row>
    <row r="113" spans="2:32">
      <c r="B113" s="7">
        <v>23</v>
      </c>
      <c r="C113" s="7" t="s">
        <v>87</v>
      </c>
      <c r="D113" t="s">
        <v>54</v>
      </c>
      <c r="F113">
        <f>IF(E113&gt;=90,"م",IF(E113&gt;=80,"جـ جـ",IF(E113&gt;=70,"جـ",IF(E113&gt;=60,"ط",IF(E113&gt;=50,"ل","ر")))))</f>
        <v>0</v>
      </c>
      <c r="H113">
        <f>IF(G113&gt;=90,"م",IF(G113&gt;=80,"جـ جـ",IF(G113&gt;=70,"جـ",IF(G113&gt;=60,"ط",IF(G113&gt;=50,"ل","ر")))))</f>
        <v>0</v>
      </c>
      <c r="J113">
        <f>IF(I113&gt;=90,"م",IF(I113&gt;=80,"جـ جـ",IF(I113&gt;=70,"جـ",IF(I113&gt;=60,"ط",IF(I113&gt;=50,"ل","ر")))))</f>
        <v>0</v>
      </c>
      <c r="L113">
        <f>IF(K113&gt;=90,"م",IF(K113&gt;=80,"جـ جـ",IF(K113&gt;=70,"جـ",IF(K113&gt;=60,"ط",IF(K113&gt;=50,"ل","ر")))))</f>
        <v>0</v>
      </c>
      <c r="N113">
        <f>IF(M113&gt;=90,"م",IF(M113&gt;=80,"جـ جـ",IF(M113&gt;=70,"جـ",IF(M113&gt;=60,"ط",IF(M113&gt;=50,"ل","ر")))))</f>
        <v>0</v>
      </c>
      <c r="P113">
        <f>IF(O113&gt;=90,"م",IF(O113&gt;=80,"جـ جـ",IF(O113&gt;=70,"جـ",IF(O113&gt;=60,"ط",IF(O113&gt;=50,"ل","ر")))))</f>
        <v>0</v>
      </c>
      <c r="R113">
        <f>IF(Q113&gt;=90,"م",IF(Q113&gt;=80,"جـ جـ",IF(Q113&gt;=70,"جـ",IF(Q113&gt;=60,"ط",IF(Q113&gt;=50,"ل","ر")))))</f>
        <v>0</v>
      </c>
      <c r="T113">
        <f>IF(S113&gt;=90,"م",IF(S113&gt;=80,"جـ جـ",IF(S113&gt;=70,"جـ",IF(S113&gt;=60,"ط",IF(S113&gt;=50,"ل","ر")))))</f>
        <v>0</v>
      </c>
      <c r="V113">
        <f>IF(U113&gt;=90,"م",IF(U113&gt;=80,"جـ جـ",IF(U113&gt;=70,"جـ",IF(U113&gt;=60,"ط",IF(U113&gt;=50,"ل","ر")))))</f>
        <v>0</v>
      </c>
      <c r="X113">
        <f>IF(W113&gt;=90,"م",IF(W113&gt;=80,"جـ جـ",IF(W113&gt;=70,"جـ",IF(W113&gt;=60,"ط",IF(W113&gt;=50,"ل","ر")))))</f>
        <v>0</v>
      </c>
      <c r="Z113">
        <f>IF(Y113&gt;=90,"م",IF(Y113&gt;=80,"جـ جـ",IF(Y113&gt;=70,"جـ",IF(Y113&gt;=60,"ط",IF(Y113&gt;=50,"ل","ر")))))</f>
        <v>0</v>
      </c>
      <c r="AA113" s="8">
        <f>IF(AND(E113&gt;=50, G113&gt;=50, I113&gt;=50, K113&gt;=50, M113&gt;=50, O113&gt;=50, Q113&gt;=50, S113&gt;=50, U113&gt;=50, W113&gt;=50, Y113&gt;=50), "ناجح", "راسب")</f>
        <v>0</v>
      </c>
      <c r="AB113" s="8">
        <f>(E113*7 + G113*2 + I113*6 + K113*7 + M113*4 + O113*2 + Q113*4 + S113*4 + U113*2 + W113*0) / (7 + 2 + 6 + 7 + 4 + 2 + 4 + 4 + 2 + 0)</f>
        <v>0</v>
      </c>
      <c r="AC113" s="8">
        <f>IF(AB113&gt;=90,"امتياز",IF(AB113&gt;=80,"جيد جدا",IF(AB113&gt;=70,"جيد",IF(AB113&gt;=60,"متوسط",IF(AB113&gt;=50,"مقبول","راسب")))))</f>
        <v>0</v>
      </c>
      <c r="AD113" s="9"/>
      <c r="AE113" s="9"/>
      <c r="AF113" s="9"/>
    </row>
    <row r="114" spans="2:32">
      <c r="B114" s="9"/>
      <c r="C114" s="9"/>
      <c r="D114" s="9"/>
      <c r="AA114" s="9"/>
      <c r="AB114" s="9"/>
      <c r="AC114" s="9"/>
      <c r="AD114" s="9"/>
      <c r="AE114" s="9"/>
      <c r="AF114" s="9"/>
    </row>
    <row r="115" spans="2:32">
      <c r="B115" s="9"/>
      <c r="C115" s="9"/>
      <c r="D115" s="9"/>
      <c r="AA115" s="9"/>
      <c r="AB115" s="9"/>
      <c r="AC115" s="9"/>
      <c r="AD115" s="9"/>
      <c r="AE115" s="9"/>
      <c r="AF115" s="9"/>
    </row>
    <row r="116" spans="2:32">
      <c r="B116" s="7">
        <v>24</v>
      </c>
      <c r="C116" s="7" t="s">
        <v>88</v>
      </c>
      <c r="D116" t="s">
        <v>54</v>
      </c>
      <c r="F116">
        <f>IF(E116&gt;=90,"م",IF(E116&gt;=80,"جـ جـ",IF(E116&gt;=70,"جـ",IF(E116&gt;=60,"ط",IF(E116&gt;=50,"ل","ر")))))</f>
        <v>0</v>
      </c>
      <c r="H116">
        <f>IF(G116&gt;=90,"م",IF(G116&gt;=80,"جـ جـ",IF(G116&gt;=70,"جـ",IF(G116&gt;=60,"ط",IF(G116&gt;=50,"ل","ر")))))</f>
        <v>0</v>
      </c>
      <c r="J116">
        <f>IF(I116&gt;=90,"م",IF(I116&gt;=80,"جـ جـ",IF(I116&gt;=70,"جـ",IF(I116&gt;=60,"ط",IF(I116&gt;=50,"ل","ر")))))</f>
        <v>0</v>
      </c>
      <c r="L116">
        <f>IF(K116&gt;=90,"م",IF(K116&gt;=80,"جـ جـ",IF(K116&gt;=70,"جـ",IF(K116&gt;=60,"ط",IF(K116&gt;=50,"ل","ر")))))</f>
        <v>0</v>
      </c>
      <c r="N116">
        <f>IF(M116&gt;=90,"م",IF(M116&gt;=80,"جـ جـ",IF(M116&gt;=70,"جـ",IF(M116&gt;=60,"ط",IF(M116&gt;=50,"ل","ر")))))</f>
        <v>0</v>
      </c>
      <c r="P116">
        <f>IF(O116&gt;=90,"م",IF(O116&gt;=80,"جـ جـ",IF(O116&gt;=70,"جـ",IF(O116&gt;=60,"ط",IF(O116&gt;=50,"ل","ر")))))</f>
        <v>0</v>
      </c>
      <c r="R116">
        <f>IF(Q116&gt;=90,"م",IF(Q116&gt;=80,"جـ جـ",IF(Q116&gt;=70,"جـ",IF(Q116&gt;=60,"ط",IF(Q116&gt;=50,"ل","ر")))))</f>
        <v>0</v>
      </c>
      <c r="T116">
        <f>IF(S116&gt;=90,"م",IF(S116&gt;=80,"جـ جـ",IF(S116&gt;=70,"جـ",IF(S116&gt;=60,"ط",IF(S116&gt;=50,"ل","ر")))))</f>
        <v>0</v>
      </c>
      <c r="V116">
        <f>IF(U116&gt;=90,"م",IF(U116&gt;=80,"جـ جـ",IF(U116&gt;=70,"جـ",IF(U116&gt;=60,"ط",IF(U116&gt;=50,"ل","ر")))))</f>
        <v>0</v>
      </c>
      <c r="X116">
        <f>IF(W116&gt;=90,"م",IF(W116&gt;=80,"جـ جـ",IF(W116&gt;=70,"جـ",IF(W116&gt;=60,"ط",IF(W116&gt;=50,"ل","ر")))))</f>
        <v>0</v>
      </c>
      <c r="Z116">
        <f>IF(Y116&gt;=90,"م",IF(Y116&gt;=80,"جـ جـ",IF(Y116&gt;=70,"جـ",IF(Y116&gt;=60,"ط",IF(Y116&gt;=50,"ل","ر")))))</f>
        <v>0</v>
      </c>
      <c r="AA116" s="8">
        <f>IF(AND(E116&gt;=50, G116&gt;=50, I116&gt;=50, K116&gt;=50, M116&gt;=50, O116&gt;=50, Q116&gt;=50, S116&gt;=50, U116&gt;=50, W116&gt;=50, Y116&gt;=50), "ناجح", "راسب")</f>
        <v>0</v>
      </c>
      <c r="AB116" s="8">
        <f>(E116*7 + G116*2 + I116*6 + K116*7 + M116*4 + O116*2 + Q116*4 + S116*4 + U116*2 + W116*0) / (7 + 2 + 6 + 7 + 4 + 2 + 4 + 4 + 2 + 0)</f>
        <v>0</v>
      </c>
      <c r="AC116" s="8">
        <f>IF(AB116&gt;=90,"امتياز",IF(AB116&gt;=80,"جيد جدا",IF(AB116&gt;=70,"جيد",IF(AB116&gt;=60,"متوسط",IF(AB116&gt;=50,"مقبول","راسب")))))</f>
        <v>0</v>
      </c>
      <c r="AD116" s="9"/>
      <c r="AE116" s="9"/>
      <c r="AF116" s="9"/>
    </row>
    <row r="117" spans="2:32">
      <c r="B117" s="9"/>
      <c r="C117" s="9"/>
      <c r="D117" s="9"/>
      <c r="AA117" s="9"/>
      <c r="AB117" s="9"/>
      <c r="AC117" s="9"/>
      <c r="AD117" s="9"/>
      <c r="AE117" s="9"/>
      <c r="AF117" s="9"/>
    </row>
    <row r="118" spans="2:32">
      <c r="B118" s="9"/>
      <c r="C118" s="9"/>
      <c r="D118" s="9"/>
      <c r="AA118" s="9"/>
      <c r="AB118" s="9"/>
      <c r="AC118" s="9"/>
      <c r="AD118" s="9"/>
      <c r="AE118" s="9"/>
      <c r="AF118" s="9"/>
    </row>
    <row r="119" spans="2:32">
      <c r="B119" s="7">
        <v>25</v>
      </c>
      <c r="C119" s="7" t="s">
        <v>89</v>
      </c>
      <c r="D119" t="s">
        <v>54</v>
      </c>
      <c r="F119">
        <f>IF(E119&gt;=90,"م",IF(E119&gt;=80,"جـ جـ",IF(E119&gt;=70,"جـ",IF(E119&gt;=60,"ط",IF(E119&gt;=50,"ل","ر")))))</f>
        <v>0</v>
      </c>
      <c r="H119">
        <f>IF(G119&gt;=90,"م",IF(G119&gt;=80,"جـ جـ",IF(G119&gt;=70,"جـ",IF(G119&gt;=60,"ط",IF(G119&gt;=50,"ل","ر")))))</f>
        <v>0</v>
      </c>
      <c r="J119">
        <f>IF(I119&gt;=90,"م",IF(I119&gt;=80,"جـ جـ",IF(I119&gt;=70,"جـ",IF(I119&gt;=60,"ط",IF(I119&gt;=50,"ل","ر")))))</f>
        <v>0</v>
      </c>
      <c r="L119">
        <f>IF(K119&gt;=90,"م",IF(K119&gt;=80,"جـ جـ",IF(K119&gt;=70,"جـ",IF(K119&gt;=60,"ط",IF(K119&gt;=50,"ل","ر")))))</f>
        <v>0</v>
      </c>
      <c r="N119">
        <f>IF(M119&gt;=90,"م",IF(M119&gt;=80,"جـ جـ",IF(M119&gt;=70,"جـ",IF(M119&gt;=60,"ط",IF(M119&gt;=50,"ل","ر")))))</f>
        <v>0</v>
      </c>
      <c r="P119">
        <f>IF(O119&gt;=90,"م",IF(O119&gt;=80,"جـ جـ",IF(O119&gt;=70,"جـ",IF(O119&gt;=60,"ط",IF(O119&gt;=50,"ل","ر")))))</f>
        <v>0</v>
      </c>
      <c r="R119">
        <f>IF(Q119&gt;=90,"م",IF(Q119&gt;=80,"جـ جـ",IF(Q119&gt;=70,"جـ",IF(Q119&gt;=60,"ط",IF(Q119&gt;=50,"ل","ر")))))</f>
        <v>0</v>
      </c>
      <c r="T119">
        <f>IF(S119&gt;=90,"م",IF(S119&gt;=80,"جـ جـ",IF(S119&gt;=70,"جـ",IF(S119&gt;=60,"ط",IF(S119&gt;=50,"ل","ر")))))</f>
        <v>0</v>
      </c>
      <c r="V119">
        <f>IF(U119&gt;=90,"م",IF(U119&gt;=80,"جـ جـ",IF(U119&gt;=70,"جـ",IF(U119&gt;=60,"ط",IF(U119&gt;=50,"ل","ر")))))</f>
        <v>0</v>
      </c>
      <c r="X119">
        <f>IF(W119&gt;=90,"م",IF(W119&gt;=80,"جـ جـ",IF(W119&gt;=70,"جـ",IF(W119&gt;=60,"ط",IF(W119&gt;=50,"ل","ر")))))</f>
        <v>0</v>
      </c>
      <c r="Z119">
        <f>IF(Y119&gt;=90,"م",IF(Y119&gt;=80,"جـ جـ",IF(Y119&gt;=70,"جـ",IF(Y119&gt;=60,"ط",IF(Y119&gt;=50,"ل","ر")))))</f>
        <v>0</v>
      </c>
      <c r="AA119" s="8">
        <f>IF(AND(E119&gt;=50, G119&gt;=50, I119&gt;=50, K119&gt;=50, M119&gt;=50, O119&gt;=50, Q119&gt;=50, S119&gt;=50, U119&gt;=50, W119&gt;=50, Y119&gt;=50), "ناجح", "راسب")</f>
        <v>0</v>
      </c>
      <c r="AB119" s="8">
        <f>(E119*7 + G119*2 + I119*6 + K119*7 + M119*4 + O119*2 + Q119*4 + S119*4 + U119*2 + W119*0) / (7 + 2 + 6 + 7 + 4 + 2 + 4 + 4 + 2 + 0)</f>
        <v>0</v>
      </c>
      <c r="AC119" s="8">
        <f>IF(AB119&gt;=90,"امتياز",IF(AB119&gt;=80,"جيد جدا",IF(AB119&gt;=70,"جيد",IF(AB119&gt;=60,"متوسط",IF(AB119&gt;=50,"مقبول","راسب")))))</f>
        <v>0</v>
      </c>
      <c r="AD119" s="9"/>
      <c r="AE119" s="9"/>
      <c r="AF119" s="9"/>
    </row>
    <row r="120" spans="2:32">
      <c r="B120" s="9"/>
      <c r="C120" s="9"/>
      <c r="D120" s="9"/>
      <c r="AA120" s="9"/>
      <c r="AB120" s="9"/>
      <c r="AC120" s="9"/>
      <c r="AD120" s="9"/>
      <c r="AE120" s="9"/>
      <c r="AF120" s="9"/>
    </row>
    <row r="121" spans="2:32">
      <c r="B121" s="9"/>
      <c r="C121" s="9"/>
      <c r="D121" s="9"/>
      <c r="AA121" s="9"/>
      <c r="AB121" s="9"/>
      <c r="AC121" s="9"/>
      <c r="AD121" s="9"/>
      <c r="AE121" s="9"/>
      <c r="AF121" s="9"/>
    </row>
    <row r="122" spans="2:32">
      <c r="B122" s="7">
        <v>26</v>
      </c>
      <c r="C122" s="7" t="s">
        <v>90</v>
      </c>
      <c r="D122" t="s">
        <v>54</v>
      </c>
      <c r="F122">
        <f>IF(E122&gt;=90,"م",IF(E122&gt;=80,"جـ جـ",IF(E122&gt;=70,"جـ",IF(E122&gt;=60,"ط",IF(E122&gt;=50,"ل","ر")))))</f>
        <v>0</v>
      </c>
      <c r="H122">
        <f>IF(G122&gt;=90,"م",IF(G122&gt;=80,"جـ جـ",IF(G122&gt;=70,"جـ",IF(G122&gt;=60,"ط",IF(G122&gt;=50,"ل","ر")))))</f>
        <v>0</v>
      </c>
      <c r="J122">
        <f>IF(I122&gt;=90,"م",IF(I122&gt;=80,"جـ جـ",IF(I122&gt;=70,"جـ",IF(I122&gt;=60,"ط",IF(I122&gt;=50,"ل","ر")))))</f>
        <v>0</v>
      </c>
      <c r="L122">
        <f>IF(K122&gt;=90,"م",IF(K122&gt;=80,"جـ جـ",IF(K122&gt;=70,"جـ",IF(K122&gt;=60,"ط",IF(K122&gt;=50,"ل","ر")))))</f>
        <v>0</v>
      </c>
      <c r="N122">
        <f>IF(M122&gt;=90,"م",IF(M122&gt;=80,"جـ جـ",IF(M122&gt;=70,"جـ",IF(M122&gt;=60,"ط",IF(M122&gt;=50,"ل","ر")))))</f>
        <v>0</v>
      </c>
      <c r="P122">
        <f>IF(O122&gt;=90,"م",IF(O122&gt;=80,"جـ جـ",IF(O122&gt;=70,"جـ",IF(O122&gt;=60,"ط",IF(O122&gt;=50,"ل","ر")))))</f>
        <v>0</v>
      </c>
      <c r="R122">
        <f>IF(Q122&gt;=90,"م",IF(Q122&gt;=80,"جـ جـ",IF(Q122&gt;=70,"جـ",IF(Q122&gt;=60,"ط",IF(Q122&gt;=50,"ل","ر")))))</f>
        <v>0</v>
      </c>
      <c r="T122">
        <f>IF(S122&gt;=90,"م",IF(S122&gt;=80,"جـ جـ",IF(S122&gt;=70,"جـ",IF(S122&gt;=60,"ط",IF(S122&gt;=50,"ل","ر")))))</f>
        <v>0</v>
      </c>
      <c r="V122">
        <f>IF(U122&gt;=90,"م",IF(U122&gt;=80,"جـ جـ",IF(U122&gt;=70,"جـ",IF(U122&gt;=60,"ط",IF(U122&gt;=50,"ل","ر")))))</f>
        <v>0</v>
      </c>
      <c r="X122">
        <f>IF(W122&gt;=90,"م",IF(W122&gt;=80,"جـ جـ",IF(W122&gt;=70,"جـ",IF(W122&gt;=60,"ط",IF(W122&gt;=50,"ل","ر")))))</f>
        <v>0</v>
      </c>
      <c r="Z122">
        <f>IF(Y122&gt;=90,"م",IF(Y122&gt;=80,"جـ جـ",IF(Y122&gt;=70,"جـ",IF(Y122&gt;=60,"ط",IF(Y122&gt;=50,"ل","ر")))))</f>
        <v>0</v>
      </c>
      <c r="AA122" s="8">
        <f>IF(AND(E122&gt;=50, G122&gt;=50, I122&gt;=50, K122&gt;=50, M122&gt;=50, O122&gt;=50, Q122&gt;=50, S122&gt;=50, U122&gt;=50, W122&gt;=50, Y122&gt;=50), "ناجح", "راسب")</f>
        <v>0</v>
      </c>
      <c r="AB122" s="8">
        <f>(E122*7 + G122*2 + I122*6 + K122*7 + M122*4 + O122*2 + Q122*4 + S122*4 + U122*2 + W122*0) / (7 + 2 + 6 + 7 + 4 + 2 + 4 + 4 + 2 + 0)</f>
        <v>0</v>
      </c>
      <c r="AC122" s="8">
        <f>IF(AB122&gt;=90,"امتياز",IF(AB122&gt;=80,"جيد جدا",IF(AB122&gt;=70,"جيد",IF(AB122&gt;=60,"متوسط",IF(AB122&gt;=50,"مقبول","راسب")))))</f>
        <v>0</v>
      </c>
      <c r="AD122" s="9"/>
      <c r="AE122" s="9"/>
      <c r="AF122" s="9"/>
    </row>
    <row r="123" spans="2:32">
      <c r="B123" s="9"/>
      <c r="C123" s="9"/>
      <c r="D123" s="9"/>
      <c r="AA123" s="9"/>
      <c r="AB123" s="9"/>
      <c r="AC123" s="9"/>
      <c r="AD123" s="9"/>
      <c r="AE123" s="9"/>
      <c r="AF123" s="9"/>
    </row>
    <row r="124" spans="2:32">
      <c r="B124" s="9"/>
      <c r="C124" s="9"/>
      <c r="D124" s="9"/>
      <c r="AA124" s="9"/>
      <c r="AB124" s="9"/>
      <c r="AC124" s="9"/>
      <c r="AD124" s="9"/>
      <c r="AE124" s="9"/>
      <c r="AF124" s="9"/>
    </row>
    <row r="125" spans="2:32">
      <c r="B125" s="7">
        <v>27</v>
      </c>
      <c r="C125" s="7" t="s">
        <v>91</v>
      </c>
      <c r="D125" t="s">
        <v>54</v>
      </c>
      <c r="F125">
        <f>IF(E125&gt;=90,"م",IF(E125&gt;=80,"جـ جـ",IF(E125&gt;=70,"جـ",IF(E125&gt;=60,"ط",IF(E125&gt;=50,"ل","ر")))))</f>
        <v>0</v>
      </c>
      <c r="H125">
        <f>IF(G125&gt;=90,"م",IF(G125&gt;=80,"جـ جـ",IF(G125&gt;=70,"جـ",IF(G125&gt;=60,"ط",IF(G125&gt;=50,"ل","ر")))))</f>
        <v>0</v>
      </c>
      <c r="J125">
        <f>IF(I125&gt;=90,"م",IF(I125&gt;=80,"جـ جـ",IF(I125&gt;=70,"جـ",IF(I125&gt;=60,"ط",IF(I125&gt;=50,"ل","ر")))))</f>
        <v>0</v>
      </c>
      <c r="L125">
        <f>IF(K125&gt;=90,"م",IF(K125&gt;=80,"جـ جـ",IF(K125&gt;=70,"جـ",IF(K125&gt;=60,"ط",IF(K125&gt;=50,"ل","ر")))))</f>
        <v>0</v>
      </c>
      <c r="N125">
        <f>IF(M125&gt;=90,"م",IF(M125&gt;=80,"جـ جـ",IF(M125&gt;=70,"جـ",IF(M125&gt;=60,"ط",IF(M125&gt;=50,"ل","ر")))))</f>
        <v>0</v>
      </c>
      <c r="P125">
        <f>IF(O125&gt;=90,"م",IF(O125&gt;=80,"جـ جـ",IF(O125&gt;=70,"جـ",IF(O125&gt;=60,"ط",IF(O125&gt;=50,"ل","ر")))))</f>
        <v>0</v>
      </c>
      <c r="R125">
        <f>IF(Q125&gt;=90,"م",IF(Q125&gt;=80,"جـ جـ",IF(Q125&gt;=70,"جـ",IF(Q125&gt;=60,"ط",IF(Q125&gt;=50,"ل","ر")))))</f>
        <v>0</v>
      </c>
      <c r="T125">
        <f>IF(S125&gt;=90,"م",IF(S125&gt;=80,"جـ جـ",IF(S125&gt;=70,"جـ",IF(S125&gt;=60,"ط",IF(S125&gt;=50,"ل","ر")))))</f>
        <v>0</v>
      </c>
      <c r="V125">
        <f>IF(U125&gt;=90,"م",IF(U125&gt;=80,"جـ جـ",IF(U125&gt;=70,"جـ",IF(U125&gt;=60,"ط",IF(U125&gt;=50,"ل","ر")))))</f>
        <v>0</v>
      </c>
      <c r="X125">
        <f>IF(W125&gt;=90,"م",IF(W125&gt;=80,"جـ جـ",IF(W125&gt;=70,"جـ",IF(W125&gt;=60,"ط",IF(W125&gt;=50,"ل","ر")))))</f>
        <v>0</v>
      </c>
      <c r="Z125">
        <f>IF(Y125&gt;=90,"م",IF(Y125&gt;=80,"جـ جـ",IF(Y125&gt;=70,"جـ",IF(Y125&gt;=60,"ط",IF(Y125&gt;=50,"ل","ر")))))</f>
        <v>0</v>
      </c>
      <c r="AA125" s="8">
        <f>IF(AND(E125&gt;=50, G125&gt;=50, I125&gt;=50, K125&gt;=50, M125&gt;=50, O125&gt;=50, Q125&gt;=50, S125&gt;=50, U125&gt;=50, W125&gt;=50, Y125&gt;=50), "ناجح", "راسب")</f>
        <v>0</v>
      </c>
      <c r="AB125" s="8">
        <f>(E125*7 + G125*2 + I125*6 + K125*7 + M125*4 + O125*2 + Q125*4 + S125*4 + U125*2 + W125*0) / (7 + 2 + 6 + 7 + 4 + 2 + 4 + 4 + 2 + 0)</f>
        <v>0</v>
      </c>
      <c r="AC125" s="8">
        <f>IF(AB125&gt;=90,"امتياز",IF(AB125&gt;=80,"جيد جدا",IF(AB125&gt;=70,"جيد",IF(AB125&gt;=60,"متوسط",IF(AB125&gt;=50,"مقبول","راسب")))))</f>
        <v>0</v>
      </c>
      <c r="AD125" s="9"/>
      <c r="AE125" s="9"/>
      <c r="AF125" s="9"/>
    </row>
    <row r="126" spans="2:32">
      <c r="B126" s="9"/>
      <c r="C126" s="9"/>
      <c r="D126" s="9"/>
      <c r="AA126" s="9"/>
      <c r="AB126" s="9"/>
      <c r="AC126" s="9"/>
      <c r="AD126" s="9"/>
      <c r="AE126" s="9"/>
      <c r="AF126" s="9"/>
    </row>
    <row r="127" spans="2:32">
      <c r="B127" s="9"/>
      <c r="C127" s="9"/>
      <c r="D127" s="9"/>
      <c r="AA127" s="9"/>
      <c r="AB127" s="9"/>
      <c r="AC127" s="9"/>
      <c r="AD127" s="9"/>
      <c r="AE127" s="9"/>
      <c r="AF127" s="9"/>
    </row>
    <row r="128" spans="2:32">
      <c r="B128" s="7">
        <v>28</v>
      </c>
      <c r="C128" s="7" t="s">
        <v>92</v>
      </c>
      <c r="D128" t="s">
        <v>54</v>
      </c>
      <c r="F128">
        <f>IF(E128&gt;=90,"م",IF(E128&gt;=80,"جـ جـ",IF(E128&gt;=70,"جـ",IF(E128&gt;=60,"ط",IF(E128&gt;=50,"ل","ر")))))</f>
        <v>0</v>
      </c>
      <c r="H128">
        <f>IF(G128&gt;=90,"م",IF(G128&gt;=80,"جـ جـ",IF(G128&gt;=70,"جـ",IF(G128&gt;=60,"ط",IF(G128&gt;=50,"ل","ر")))))</f>
        <v>0</v>
      </c>
      <c r="J128">
        <f>IF(I128&gt;=90,"م",IF(I128&gt;=80,"جـ جـ",IF(I128&gt;=70,"جـ",IF(I128&gt;=60,"ط",IF(I128&gt;=50,"ل","ر")))))</f>
        <v>0</v>
      </c>
      <c r="L128">
        <f>IF(K128&gt;=90,"م",IF(K128&gt;=80,"جـ جـ",IF(K128&gt;=70,"جـ",IF(K128&gt;=60,"ط",IF(K128&gt;=50,"ل","ر")))))</f>
        <v>0</v>
      </c>
      <c r="N128">
        <f>IF(M128&gt;=90,"م",IF(M128&gt;=80,"جـ جـ",IF(M128&gt;=70,"جـ",IF(M128&gt;=60,"ط",IF(M128&gt;=50,"ل","ر")))))</f>
        <v>0</v>
      </c>
      <c r="P128">
        <f>IF(O128&gt;=90,"م",IF(O128&gt;=80,"جـ جـ",IF(O128&gt;=70,"جـ",IF(O128&gt;=60,"ط",IF(O128&gt;=50,"ل","ر")))))</f>
        <v>0</v>
      </c>
      <c r="R128">
        <f>IF(Q128&gt;=90,"م",IF(Q128&gt;=80,"جـ جـ",IF(Q128&gt;=70,"جـ",IF(Q128&gt;=60,"ط",IF(Q128&gt;=50,"ل","ر")))))</f>
        <v>0</v>
      </c>
      <c r="T128">
        <f>IF(S128&gt;=90,"م",IF(S128&gt;=80,"جـ جـ",IF(S128&gt;=70,"جـ",IF(S128&gt;=60,"ط",IF(S128&gt;=50,"ل","ر")))))</f>
        <v>0</v>
      </c>
      <c r="V128">
        <f>IF(U128&gt;=90,"م",IF(U128&gt;=80,"جـ جـ",IF(U128&gt;=70,"جـ",IF(U128&gt;=60,"ط",IF(U128&gt;=50,"ل","ر")))))</f>
        <v>0</v>
      </c>
      <c r="X128">
        <f>IF(W128&gt;=90,"م",IF(W128&gt;=80,"جـ جـ",IF(W128&gt;=70,"جـ",IF(W128&gt;=60,"ط",IF(W128&gt;=50,"ل","ر")))))</f>
        <v>0</v>
      </c>
      <c r="Z128">
        <f>IF(Y128&gt;=90,"م",IF(Y128&gt;=80,"جـ جـ",IF(Y128&gt;=70,"جـ",IF(Y128&gt;=60,"ط",IF(Y128&gt;=50,"ل","ر")))))</f>
        <v>0</v>
      </c>
      <c r="AA128" s="8">
        <f>IF(AND(E128&gt;=50, G128&gt;=50, I128&gt;=50, K128&gt;=50, M128&gt;=50, O128&gt;=50, Q128&gt;=50, S128&gt;=50, U128&gt;=50, W128&gt;=50, Y128&gt;=50), "ناجح", "راسب")</f>
        <v>0</v>
      </c>
      <c r="AB128" s="8">
        <f>(E128*7 + G128*2 + I128*6 + K128*7 + M128*4 + O128*2 + Q128*4 + S128*4 + U128*2 + W128*0) / (7 + 2 + 6 + 7 + 4 + 2 + 4 + 4 + 2 + 0)</f>
        <v>0</v>
      </c>
      <c r="AC128" s="8">
        <f>IF(AB128&gt;=90,"امتياز",IF(AB128&gt;=80,"جيد جدا",IF(AB128&gt;=70,"جيد",IF(AB128&gt;=60,"متوسط",IF(AB128&gt;=50,"مقبول","راسب")))))</f>
        <v>0</v>
      </c>
      <c r="AD128" s="9"/>
      <c r="AE128" s="9"/>
      <c r="AF128" s="9"/>
    </row>
    <row r="129" spans="2:32">
      <c r="B129" s="9"/>
      <c r="C129" s="9"/>
      <c r="D129" s="9"/>
      <c r="AA129" s="9"/>
      <c r="AB129" s="9"/>
      <c r="AC129" s="9"/>
      <c r="AD129" s="9"/>
      <c r="AE129" s="9"/>
      <c r="AF129" s="9"/>
    </row>
    <row r="130" spans="2:32">
      <c r="B130" s="9"/>
      <c r="C130" s="9"/>
      <c r="D130" s="9"/>
      <c r="AA130" s="9"/>
      <c r="AB130" s="9"/>
      <c r="AC130" s="9"/>
      <c r="AD130" s="9"/>
      <c r="AE130" s="9"/>
      <c r="AF130" s="9"/>
    </row>
    <row r="131" spans="2:32">
      <c r="B131" s="7">
        <v>29</v>
      </c>
      <c r="C131" s="7" t="s">
        <v>93</v>
      </c>
      <c r="D131" t="s">
        <v>54</v>
      </c>
      <c r="F131">
        <f>IF(E131&gt;=90,"م",IF(E131&gt;=80,"جـ جـ",IF(E131&gt;=70,"جـ",IF(E131&gt;=60,"ط",IF(E131&gt;=50,"ل","ر")))))</f>
        <v>0</v>
      </c>
      <c r="H131">
        <f>IF(G131&gt;=90,"م",IF(G131&gt;=80,"جـ جـ",IF(G131&gt;=70,"جـ",IF(G131&gt;=60,"ط",IF(G131&gt;=50,"ل","ر")))))</f>
        <v>0</v>
      </c>
      <c r="J131">
        <f>IF(I131&gt;=90,"م",IF(I131&gt;=80,"جـ جـ",IF(I131&gt;=70,"جـ",IF(I131&gt;=60,"ط",IF(I131&gt;=50,"ل","ر")))))</f>
        <v>0</v>
      </c>
      <c r="L131">
        <f>IF(K131&gt;=90,"م",IF(K131&gt;=80,"جـ جـ",IF(K131&gt;=70,"جـ",IF(K131&gt;=60,"ط",IF(K131&gt;=50,"ل","ر")))))</f>
        <v>0</v>
      </c>
      <c r="N131">
        <f>IF(M131&gt;=90,"م",IF(M131&gt;=80,"جـ جـ",IF(M131&gt;=70,"جـ",IF(M131&gt;=60,"ط",IF(M131&gt;=50,"ل","ر")))))</f>
        <v>0</v>
      </c>
      <c r="P131">
        <f>IF(O131&gt;=90,"م",IF(O131&gt;=80,"جـ جـ",IF(O131&gt;=70,"جـ",IF(O131&gt;=60,"ط",IF(O131&gt;=50,"ل","ر")))))</f>
        <v>0</v>
      </c>
      <c r="R131">
        <f>IF(Q131&gt;=90,"م",IF(Q131&gt;=80,"جـ جـ",IF(Q131&gt;=70,"جـ",IF(Q131&gt;=60,"ط",IF(Q131&gt;=50,"ل","ر")))))</f>
        <v>0</v>
      </c>
      <c r="T131">
        <f>IF(S131&gt;=90,"م",IF(S131&gt;=80,"جـ جـ",IF(S131&gt;=70,"جـ",IF(S131&gt;=60,"ط",IF(S131&gt;=50,"ل","ر")))))</f>
        <v>0</v>
      </c>
      <c r="V131">
        <f>IF(U131&gt;=90,"م",IF(U131&gt;=80,"جـ جـ",IF(U131&gt;=70,"جـ",IF(U131&gt;=60,"ط",IF(U131&gt;=50,"ل","ر")))))</f>
        <v>0</v>
      </c>
      <c r="X131">
        <f>IF(W131&gt;=90,"م",IF(W131&gt;=80,"جـ جـ",IF(W131&gt;=70,"جـ",IF(W131&gt;=60,"ط",IF(W131&gt;=50,"ل","ر")))))</f>
        <v>0</v>
      </c>
      <c r="Z131">
        <f>IF(Y131&gt;=90,"م",IF(Y131&gt;=80,"جـ جـ",IF(Y131&gt;=70,"جـ",IF(Y131&gt;=60,"ط",IF(Y131&gt;=50,"ل","ر")))))</f>
        <v>0</v>
      </c>
      <c r="AA131" s="8">
        <f>IF(AND(E131&gt;=50, G131&gt;=50, I131&gt;=50, K131&gt;=50, M131&gt;=50, O131&gt;=50, Q131&gt;=50, S131&gt;=50, U131&gt;=50, W131&gt;=50, Y131&gt;=50), "ناجح", "راسب")</f>
        <v>0</v>
      </c>
      <c r="AB131" s="8">
        <f>(E131*7 + G131*2 + I131*6 + K131*7 + M131*4 + O131*2 + Q131*4 + S131*4 + U131*2 + W131*0) / (7 + 2 + 6 + 7 + 4 + 2 + 4 + 4 + 2 + 0)</f>
        <v>0</v>
      </c>
      <c r="AC131" s="8">
        <f>IF(AB131&gt;=90,"امتياز",IF(AB131&gt;=80,"جيد جدا",IF(AB131&gt;=70,"جيد",IF(AB131&gt;=60,"متوسط",IF(AB131&gt;=50,"مقبول","راسب")))))</f>
        <v>0</v>
      </c>
      <c r="AD131" s="9"/>
      <c r="AE131" s="9"/>
      <c r="AF131" s="9"/>
    </row>
    <row r="132" spans="2:32">
      <c r="B132" s="9"/>
      <c r="C132" s="9"/>
      <c r="D132" s="9"/>
      <c r="AA132" s="9"/>
      <c r="AB132" s="9"/>
      <c r="AC132" s="9"/>
      <c r="AD132" s="9"/>
      <c r="AE132" s="9"/>
      <c r="AF132" s="9"/>
    </row>
    <row r="133" spans="2:32">
      <c r="B133" s="9"/>
      <c r="C133" s="9"/>
      <c r="D133" s="9"/>
      <c r="AA133" s="9"/>
      <c r="AB133" s="9"/>
      <c r="AC133" s="9"/>
      <c r="AD133" s="9"/>
      <c r="AE133" s="9"/>
      <c r="AF133" s="9"/>
    </row>
    <row r="134" spans="2:32">
      <c r="B134" s="7">
        <v>30</v>
      </c>
      <c r="C134" s="7" t="s">
        <v>94</v>
      </c>
      <c r="D134" t="s">
        <v>54</v>
      </c>
      <c r="F134">
        <f>IF(E134&gt;=90,"م",IF(E134&gt;=80,"جـ جـ",IF(E134&gt;=70,"جـ",IF(E134&gt;=60,"ط",IF(E134&gt;=50,"ل","ر")))))</f>
        <v>0</v>
      </c>
      <c r="H134">
        <f>IF(G134&gt;=90,"م",IF(G134&gt;=80,"جـ جـ",IF(G134&gt;=70,"جـ",IF(G134&gt;=60,"ط",IF(G134&gt;=50,"ل","ر")))))</f>
        <v>0</v>
      </c>
      <c r="J134">
        <f>IF(I134&gt;=90,"م",IF(I134&gt;=80,"جـ جـ",IF(I134&gt;=70,"جـ",IF(I134&gt;=60,"ط",IF(I134&gt;=50,"ل","ر")))))</f>
        <v>0</v>
      </c>
      <c r="L134">
        <f>IF(K134&gt;=90,"م",IF(K134&gt;=80,"جـ جـ",IF(K134&gt;=70,"جـ",IF(K134&gt;=60,"ط",IF(K134&gt;=50,"ل","ر")))))</f>
        <v>0</v>
      </c>
      <c r="N134">
        <f>IF(M134&gt;=90,"م",IF(M134&gt;=80,"جـ جـ",IF(M134&gt;=70,"جـ",IF(M134&gt;=60,"ط",IF(M134&gt;=50,"ل","ر")))))</f>
        <v>0</v>
      </c>
      <c r="P134">
        <f>IF(O134&gt;=90,"م",IF(O134&gt;=80,"جـ جـ",IF(O134&gt;=70,"جـ",IF(O134&gt;=60,"ط",IF(O134&gt;=50,"ل","ر")))))</f>
        <v>0</v>
      </c>
      <c r="R134">
        <f>IF(Q134&gt;=90,"م",IF(Q134&gt;=80,"جـ جـ",IF(Q134&gt;=70,"جـ",IF(Q134&gt;=60,"ط",IF(Q134&gt;=50,"ل","ر")))))</f>
        <v>0</v>
      </c>
      <c r="T134">
        <f>IF(S134&gt;=90,"م",IF(S134&gt;=80,"جـ جـ",IF(S134&gt;=70,"جـ",IF(S134&gt;=60,"ط",IF(S134&gt;=50,"ل","ر")))))</f>
        <v>0</v>
      </c>
      <c r="V134">
        <f>IF(U134&gt;=90,"م",IF(U134&gt;=80,"جـ جـ",IF(U134&gt;=70,"جـ",IF(U134&gt;=60,"ط",IF(U134&gt;=50,"ل","ر")))))</f>
        <v>0</v>
      </c>
      <c r="X134">
        <f>IF(W134&gt;=90,"م",IF(W134&gt;=80,"جـ جـ",IF(W134&gt;=70,"جـ",IF(W134&gt;=60,"ط",IF(W134&gt;=50,"ل","ر")))))</f>
        <v>0</v>
      </c>
      <c r="Z134">
        <f>IF(Y134&gt;=90,"م",IF(Y134&gt;=80,"جـ جـ",IF(Y134&gt;=70,"جـ",IF(Y134&gt;=60,"ط",IF(Y134&gt;=50,"ل","ر")))))</f>
        <v>0</v>
      </c>
      <c r="AA134" s="8">
        <f>IF(AND(E134&gt;=50, G134&gt;=50, I134&gt;=50, K134&gt;=50, M134&gt;=50, O134&gt;=50, Q134&gt;=50, S134&gt;=50, U134&gt;=50, W134&gt;=50, Y134&gt;=50), "ناجح", "راسب")</f>
        <v>0</v>
      </c>
      <c r="AB134" s="8">
        <f>(E134*7 + G134*2 + I134*6 + K134*7 + M134*4 + O134*2 + Q134*4 + S134*4 + U134*2 + W134*0) / (7 + 2 + 6 + 7 + 4 + 2 + 4 + 4 + 2 + 0)</f>
        <v>0</v>
      </c>
      <c r="AC134" s="8">
        <f>IF(AB134&gt;=90,"امتياز",IF(AB134&gt;=80,"جيد جدا",IF(AB134&gt;=70,"جيد",IF(AB134&gt;=60,"متوسط",IF(AB134&gt;=50,"مقبول","راسب")))))</f>
        <v>0</v>
      </c>
      <c r="AD134" s="9"/>
      <c r="AE134" s="9"/>
      <c r="AF134" s="9"/>
    </row>
    <row r="135" spans="2:32">
      <c r="B135" s="9"/>
      <c r="C135" s="9"/>
      <c r="D135" s="9"/>
      <c r="AA135" s="9"/>
      <c r="AB135" s="9"/>
      <c r="AC135" s="9"/>
      <c r="AD135" s="9"/>
      <c r="AE135" s="9"/>
      <c r="AF135" s="9"/>
    </row>
    <row r="136" spans="2:32">
      <c r="B136" s="9"/>
      <c r="C136" s="9"/>
      <c r="D136" s="9"/>
      <c r="AA136" s="9"/>
      <c r="AB136" s="9"/>
      <c r="AC136" s="9"/>
      <c r="AD136" s="9"/>
      <c r="AE136" s="9"/>
      <c r="AF136" s="9"/>
    </row>
    <row r="138" spans="2:32">
      <c r="C138" s="9" t="s">
        <v>29</v>
      </c>
    </row>
    <row r="139" spans="2:32">
      <c r="C139" s="9" t="s">
        <v>30</v>
      </c>
      <c r="F139" s="9" t="s">
        <v>33</v>
      </c>
      <c r="K139" s="9" t="s">
        <v>36</v>
      </c>
      <c r="P139" s="9" t="s">
        <v>39</v>
      </c>
      <c r="W139" s="9" t="s">
        <v>42</v>
      </c>
      <c r="AB139" s="9" t="s">
        <v>42</v>
      </c>
      <c r="AF139" s="9" t="s">
        <v>45</v>
      </c>
    </row>
    <row r="140" spans="2:32">
      <c r="C140" s="9" t="s">
        <v>31</v>
      </c>
      <c r="F140" s="9" t="s">
        <v>34</v>
      </c>
      <c r="K140" s="9" t="s">
        <v>37</v>
      </c>
      <c r="P140" s="9" t="s">
        <v>40</v>
      </c>
      <c r="W140" s="9" t="s">
        <v>43</v>
      </c>
      <c r="AB140" s="9" t="s">
        <v>44</v>
      </c>
      <c r="AF140" s="9" t="s">
        <v>46</v>
      </c>
    </row>
    <row r="141" spans="2:32">
      <c r="C141" s="9" t="s">
        <v>32</v>
      </c>
      <c r="F141" s="9" t="s">
        <v>35</v>
      </c>
      <c r="K141" s="9" t="s">
        <v>38</v>
      </c>
      <c r="P141" s="9" t="s">
        <v>41</v>
      </c>
    </row>
    <row r="143" spans="2:32">
      <c r="B143" s="9" t="s">
        <v>47</v>
      </c>
      <c r="C143" s="9" t="s">
        <v>48</v>
      </c>
    </row>
    <row r="144" spans="2:32">
      <c r="B144" s="9" t="s">
        <v>49</v>
      </c>
      <c r="C144" s="9" t="s">
        <v>50</v>
      </c>
    </row>
    <row r="145" spans="2:32">
      <c r="B145" s="9" t="s">
        <v>51</v>
      </c>
      <c r="C145" s="9" t="s">
        <v>52</v>
      </c>
    </row>
    <row r="151" spans="2:32">
      <c r="C151" s="1" t="s">
        <v>1</v>
      </c>
      <c r="G151" s="2" t="s">
        <v>95</v>
      </c>
      <c r="H151" s="2"/>
      <c r="I151" s="2"/>
      <c r="J151" s="2"/>
      <c r="K151" s="2"/>
      <c r="L151" s="2"/>
      <c r="M151" s="2"/>
      <c r="N151" s="2"/>
      <c r="AF151" s="1" t="s">
        <v>3</v>
      </c>
    </row>
    <row r="152" spans="2:32">
      <c r="C152" s="1" t="s">
        <v>2</v>
      </c>
      <c r="AF152" s="1" t="s">
        <v>4</v>
      </c>
    </row>
    <row r="153" spans="2:32">
      <c r="AF153" s="1" t="s">
        <v>5</v>
      </c>
    </row>
    <row r="154" spans="2:32">
      <c r="G154" s="1" t="s">
        <v>6</v>
      </c>
    </row>
    <row r="155" spans="2:32">
      <c r="B155" s="3" t="s">
        <v>8</v>
      </c>
      <c r="C155" s="4" t="s">
        <v>7</v>
      </c>
      <c r="D155" s="3" t="s">
        <v>10</v>
      </c>
      <c r="E155" s="5">
        <v>7</v>
      </c>
      <c r="F155" s="5"/>
      <c r="G155" s="5">
        <v>2</v>
      </c>
      <c r="H155" s="5"/>
      <c r="I155" s="5">
        <v>6</v>
      </c>
      <c r="J155" s="5"/>
      <c r="K155" s="5">
        <v>7</v>
      </c>
      <c r="L155" s="5"/>
      <c r="M155" s="5">
        <v>4</v>
      </c>
      <c r="N155" s="5"/>
      <c r="O155" s="5">
        <v>2</v>
      </c>
      <c r="P155" s="5"/>
      <c r="Q155" s="5">
        <v>4</v>
      </c>
      <c r="R155" s="5"/>
      <c r="S155" s="5">
        <v>4</v>
      </c>
      <c r="T155" s="5"/>
      <c r="U155" s="5">
        <v>2</v>
      </c>
      <c r="V155" s="5"/>
      <c r="W155" s="5">
        <v>0</v>
      </c>
      <c r="X155" s="5"/>
      <c r="Y155" s="5">
        <v>3</v>
      </c>
      <c r="Z155" s="5"/>
      <c r="AA155" s="3" t="s">
        <v>23</v>
      </c>
      <c r="AB155" s="3" t="s">
        <v>24</v>
      </c>
      <c r="AC155" s="3" t="s">
        <v>25</v>
      </c>
      <c r="AD155" s="3" t="s">
        <v>26</v>
      </c>
      <c r="AE155" s="3" t="s">
        <v>27</v>
      </c>
      <c r="AF155" s="5" t="s">
        <v>28</v>
      </c>
    </row>
    <row r="156" spans="2:32" ht="40" customHeight="1">
      <c r="B156" s="3"/>
      <c r="C156" s="6" t="s">
        <v>11</v>
      </c>
      <c r="D156" s="3"/>
      <c r="E156" s="5" t="s">
        <v>13</v>
      </c>
      <c r="F156" s="5"/>
      <c r="G156" s="5" t="s">
        <v>14</v>
      </c>
      <c r="H156" s="5"/>
      <c r="I156" s="5" t="s">
        <v>15</v>
      </c>
      <c r="J156" s="5"/>
      <c r="K156" s="5" t="s">
        <v>16</v>
      </c>
      <c r="L156" s="5"/>
      <c r="M156" s="5" t="s">
        <v>17</v>
      </c>
      <c r="N156" s="5"/>
      <c r="O156" s="5" t="s">
        <v>18</v>
      </c>
      <c r="P156" s="5"/>
      <c r="Q156" s="5" t="s">
        <v>19</v>
      </c>
      <c r="R156" s="5"/>
      <c r="S156" s="5" t="s">
        <v>20</v>
      </c>
      <c r="T156" s="5"/>
      <c r="U156" s="5" t="s">
        <v>21</v>
      </c>
      <c r="V156" s="5"/>
      <c r="W156" s="5" t="s">
        <v>22</v>
      </c>
      <c r="X156" s="5"/>
      <c r="Y156" s="5" t="s">
        <v>21</v>
      </c>
      <c r="Z156" s="5"/>
      <c r="AA156" s="3"/>
      <c r="AB156" s="3"/>
      <c r="AC156" s="3"/>
      <c r="AD156" s="3"/>
      <c r="AE156" s="3"/>
      <c r="AF156" s="5"/>
    </row>
    <row r="157" spans="2:32">
      <c r="B157" s="7">
        <v>31</v>
      </c>
      <c r="C157" s="7" t="s">
        <v>90</v>
      </c>
      <c r="D157" t="s">
        <v>54</v>
      </c>
      <c r="F157">
        <f>IF(E157&gt;=90,"م",IF(E157&gt;=80,"جـ جـ",IF(E157&gt;=70,"جـ",IF(E157&gt;=60,"ط",IF(E157&gt;=50,"ل","ر")))))</f>
        <v>0</v>
      </c>
      <c r="H157">
        <f>IF(G157&gt;=90,"م",IF(G157&gt;=80,"جـ جـ",IF(G157&gt;=70,"جـ",IF(G157&gt;=60,"ط",IF(G157&gt;=50,"ل","ر")))))</f>
        <v>0</v>
      </c>
      <c r="J157">
        <f>IF(I157&gt;=90,"م",IF(I157&gt;=80,"جـ جـ",IF(I157&gt;=70,"جـ",IF(I157&gt;=60,"ط",IF(I157&gt;=50,"ل","ر")))))</f>
        <v>0</v>
      </c>
      <c r="L157">
        <f>IF(K157&gt;=90,"م",IF(K157&gt;=80,"جـ جـ",IF(K157&gt;=70,"جـ",IF(K157&gt;=60,"ط",IF(K157&gt;=50,"ل","ر")))))</f>
        <v>0</v>
      </c>
      <c r="N157">
        <f>IF(M157&gt;=90,"م",IF(M157&gt;=80,"جـ جـ",IF(M157&gt;=70,"جـ",IF(M157&gt;=60,"ط",IF(M157&gt;=50,"ل","ر")))))</f>
        <v>0</v>
      </c>
      <c r="P157">
        <f>IF(O157&gt;=90,"م",IF(O157&gt;=80,"جـ جـ",IF(O157&gt;=70,"جـ",IF(O157&gt;=60,"ط",IF(O157&gt;=50,"ل","ر")))))</f>
        <v>0</v>
      </c>
      <c r="R157">
        <f>IF(Q157&gt;=90,"م",IF(Q157&gt;=80,"جـ جـ",IF(Q157&gt;=70,"جـ",IF(Q157&gt;=60,"ط",IF(Q157&gt;=50,"ل","ر")))))</f>
        <v>0</v>
      </c>
      <c r="T157">
        <f>IF(S157&gt;=90,"م",IF(S157&gt;=80,"جـ جـ",IF(S157&gt;=70,"جـ",IF(S157&gt;=60,"ط",IF(S157&gt;=50,"ل","ر")))))</f>
        <v>0</v>
      </c>
      <c r="V157">
        <f>IF(U157&gt;=90,"م",IF(U157&gt;=80,"جـ جـ",IF(U157&gt;=70,"جـ",IF(U157&gt;=60,"ط",IF(U157&gt;=50,"ل","ر")))))</f>
        <v>0</v>
      </c>
      <c r="X157">
        <f>IF(W157&gt;=90,"م",IF(W157&gt;=80,"جـ جـ",IF(W157&gt;=70,"جـ",IF(W157&gt;=60,"ط",IF(W157&gt;=50,"ل","ر")))))</f>
        <v>0</v>
      </c>
      <c r="Z157">
        <f>IF(Y157&gt;=90,"م",IF(Y157&gt;=80,"جـ جـ",IF(Y157&gt;=70,"جـ",IF(Y157&gt;=60,"ط",IF(Y157&gt;=50,"ل","ر")))))</f>
        <v>0</v>
      </c>
      <c r="AA157" s="8">
        <f>IF(AND(E157&gt;=50, G157&gt;=50, I157&gt;=50, K157&gt;=50, M157&gt;=50, O157&gt;=50, Q157&gt;=50, S157&gt;=50, U157&gt;=50, W157&gt;=50, Y157&gt;=50), "ناجح", "راسب")</f>
        <v>0</v>
      </c>
      <c r="AB157" s="8">
        <f>(E157*7 + G157*2 + I157*6 + K157*7 + M157*4 + O157*2 + Q157*4 + S157*4 + U157*2 + W157*0) / (7 + 2 + 6 + 7 + 4 + 2 + 4 + 4 + 2 + 0)</f>
        <v>0</v>
      </c>
      <c r="AC157" s="8">
        <f>IF(AB157&gt;=90,"امتياز",IF(AB157&gt;=80,"جيد جدا",IF(AB157&gt;=70,"جيد",IF(AB157&gt;=60,"متوسط",IF(AB157&gt;=50,"مقبول","راسب")))))</f>
        <v>0</v>
      </c>
      <c r="AD157" s="9"/>
      <c r="AE157" s="9"/>
      <c r="AF157" s="9"/>
    </row>
    <row r="158" spans="2:32">
      <c r="B158" s="9"/>
      <c r="C158" s="9"/>
      <c r="D158" s="9"/>
      <c r="AA158" s="9"/>
      <c r="AB158" s="9"/>
      <c r="AC158" s="9"/>
      <c r="AD158" s="9"/>
      <c r="AE158" s="9"/>
      <c r="AF158" s="9"/>
    </row>
    <row r="159" spans="2:32">
      <c r="B159" s="9"/>
      <c r="C159" s="9"/>
      <c r="D159" s="9"/>
      <c r="AA159" s="9"/>
      <c r="AB159" s="9"/>
      <c r="AC159" s="9"/>
      <c r="AD159" s="9"/>
      <c r="AE159" s="9"/>
      <c r="AF159" s="9"/>
    </row>
    <row r="160" spans="2:32">
      <c r="B160" s="7">
        <v>32</v>
      </c>
      <c r="C160" s="7" t="s">
        <v>91</v>
      </c>
      <c r="D160" t="s">
        <v>54</v>
      </c>
      <c r="F160">
        <f>IF(E160&gt;=90,"م",IF(E160&gt;=80,"جـ جـ",IF(E160&gt;=70,"جـ",IF(E160&gt;=60,"ط",IF(E160&gt;=50,"ل","ر")))))</f>
        <v>0</v>
      </c>
      <c r="H160">
        <f>IF(G160&gt;=90,"م",IF(G160&gt;=80,"جـ جـ",IF(G160&gt;=70,"جـ",IF(G160&gt;=60,"ط",IF(G160&gt;=50,"ل","ر")))))</f>
        <v>0</v>
      </c>
      <c r="J160">
        <f>IF(I160&gt;=90,"م",IF(I160&gt;=80,"جـ جـ",IF(I160&gt;=70,"جـ",IF(I160&gt;=60,"ط",IF(I160&gt;=50,"ل","ر")))))</f>
        <v>0</v>
      </c>
      <c r="L160">
        <f>IF(K160&gt;=90,"م",IF(K160&gt;=80,"جـ جـ",IF(K160&gt;=70,"جـ",IF(K160&gt;=60,"ط",IF(K160&gt;=50,"ل","ر")))))</f>
        <v>0</v>
      </c>
      <c r="N160">
        <f>IF(M160&gt;=90,"م",IF(M160&gt;=80,"جـ جـ",IF(M160&gt;=70,"جـ",IF(M160&gt;=60,"ط",IF(M160&gt;=50,"ل","ر")))))</f>
        <v>0</v>
      </c>
      <c r="P160">
        <f>IF(O160&gt;=90,"م",IF(O160&gt;=80,"جـ جـ",IF(O160&gt;=70,"جـ",IF(O160&gt;=60,"ط",IF(O160&gt;=50,"ل","ر")))))</f>
        <v>0</v>
      </c>
      <c r="R160">
        <f>IF(Q160&gt;=90,"م",IF(Q160&gt;=80,"جـ جـ",IF(Q160&gt;=70,"جـ",IF(Q160&gt;=60,"ط",IF(Q160&gt;=50,"ل","ر")))))</f>
        <v>0</v>
      </c>
      <c r="T160">
        <f>IF(S160&gt;=90,"م",IF(S160&gt;=80,"جـ جـ",IF(S160&gt;=70,"جـ",IF(S160&gt;=60,"ط",IF(S160&gt;=50,"ل","ر")))))</f>
        <v>0</v>
      </c>
      <c r="V160">
        <f>IF(U160&gt;=90,"م",IF(U160&gt;=80,"جـ جـ",IF(U160&gt;=70,"جـ",IF(U160&gt;=60,"ط",IF(U160&gt;=50,"ل","ر")))))</f>
        <v>0</v>
      </c>
      <c r="X160">
        <f>IF(W160&gt;=90,"م",IF(W160&gt;=80,"جـ جـ",IF(W160&gt;=70,"جـ",IF(W160&gt;=60,"ط",IF(W160&gt;=50,"ل","ر")))))</f>
        <v>0</v>
      </c>
      <c r="Z160">
        <f>IF(Y160&gt;=90,"م",IF(Y160&gt;=80,"جـ جـ",IF(Y160&gt;=70,"جـ",IF(Y160&gt;=60,"ط",IF(Y160&gt;=50,"ل","ر")))))</f>
        <v>0</v>
      </c>
      <c r="AA160" s="8">
        <f>IF(AND(E160&gt;=50, G160&gt;=50, I160&gt;=50, K160&gt;=50, M160&gt;=50, O160&gt;=50, Q160&gt;=50, S160&gt;=50, U160&gt;=50, W160&gt;=50, Y160&gt;=50), "ناجح", "راسب")</f>
        <v>0</v>
      </c>
      <c r="AB160" s="8">
        <f>(E160*7 + G160*2 + I160*6 + K160*7 + M160*4 + O160*2 + Q160*4 + S160*4 + U160*2 + W160*0) / (7 + 2 + 6 + 7 + 4 + 2 + 4 + 4 + 2 + 0)</f>
        <v>0</v>
      </c>
      <c r="AC160" s="8">
        <f>IF(AB160&gt;=90,"امتياز",IF(AB160&gt;=80,"جيد جدا",IF(AB160&gt;=70,"جيد",IF(AB160&gt;=60,"متوسط",IF(AB160&gt;=50,"مقبول","راسب")))))</f>
        <v>0</v>
      </c>
      <c r="AD160" s="9"/>
      <c r="AE160" s="9"/>
      <c r="AF160" s="9"/>
    </row>
    <row r="161" spans="2:32">
      <c r="B161" s="9"/>
      <c r="C161" s="9"/>
      <c r="D161" s="9"/>
      <c r="AA161" s="9"/>
      <c r="AB161" s="9"/>
      <c r="AC161" s="9"/>
      <c r="AD161" s="9"/>
      <c r="AE161" s="9"/>
      <c r="AF161" s="9"/>
    </row>
    <row r="162" spans="2:32">
      <c r="B162" s="9"/>
      <c r="C162" s="9"/>
      <c r="D162" s="9"/>
      <c r="AA162" s="9"/>
      <c r="AB162" s="9"/>
      <c r="AC162" s="9"/>
      <c r="AD162" s="9"/>
      <c r="AE162" s="9"/>
      <c r="AF162" s="9"/>
    </row>
    <row r="163" spans="2:32">
      <c r="B163" s="7">
        <v>33</v>
      </c>
      <c r="C163" s="7" t="s">
        <v>92</v>
      </c>
      <c r="D163" t="s">
        <v>54</v>
      </c>
      <c r="F163">
        <f>IF(E163&gt;=90,"م",IF(E163&gt;=80,"جـ جـ",IF(E163&gt;=70,"جـ",IF(E163&gt;=60,"ط",IF(E163&gt;=50,"ل","ر")))))</f>
        <v>0</v>
      </c>
      <c r="H163">
        <f>IF(G163&gt;=90,"م",IF(G163&gt;=80,"جـ جـ",IF(G163&gt;=70,"جـ",IF(G163&gt;=60,"ط",IF(G163&gt;=50,"ل","ر")))))</f>
        <v>0</v>
      </c>
      <c r="J163">
        <f>IF(I163&gt;=90,"م",IF(I163&gt;=80,"جـ جـ",IF(I163&gt;=70,"جـ",IF(I163&gt;=60,"ط",IF(I163&gt;=50,"ل","ر")))))</f>
        <v>0</v>
      </c>
      <c r="L163">
        <f>IF(K163&gt;=90,"م",IF(K163&gt;=80,"جـ جـ",IF(K163&gt;=70,"جـ",IF(K163&gt;=60,"ط",IF(K163&gt;=50,"ل","ر")))))</f>
        <v>0</v>
      </c>
      <c r="N163">
        <f>IF(M163&gt;=90,"م",IF(M163&gt;=80,"جـ جـ",IF(M163&gt;=70,"جـ",IF(M163&gt;=60,"ط",IF(M163&gt;=50,"ل","ر")))))</f>
        <v>0</v>
      </c>
      <c r="P163">
        <f>IF(O163&gt;=90,"م",IF(O163&gt;=80,"جـ جـ",IF(O163&gt;=70,"جـ",IF(O163&gt;=60,"ط",IF(O163&gt;=50,"ل","ر")))))</f>
        <v>0</v>
      </c>
      <c r="R163">
        <f>IF(Q163&gt;=90,"م",IF(Q163&gt;=80,"جـ جـ",IF(Q163&gt;=70,"جـ",IF(Q163&gt;=60,"ط",IF(Q163&gt;=50,"ل","ر")))))</f>
        <v>0</v>
      </c>
      <c r="T163">
        <f>IF(S163&gt;=90,"م",IF(S163&gt;=80,"جـ جـ",IF(S163&gt;=70,"جـ",IF(S163&gt;=60,"ط",IF(S163&gt;=50,"ل","ر")))))</f>
        <v>0</v>
      </c>
      <c r="V163">
        <f>IF(U163&gt;=90,"م",IF(U163&gt;=80,"جـ جـ",IF(U163&gt;=70,"جـ",IF(U163&gt;=60,"ط",IF(U163&gt;=50,"ل","ر")))))</f>
        <v>0</v>
      </c>
      <c r="X163">
        <f>IF(W163&gt;=90,"م",IF(W163&gt;=80,"جـ جـ",IF(W163&gt;=70,"جـ",IF(W163&gt;=60,"ط",IF(W163&gt;=50,"ل","ر")))))</f>
        <v>0</v>
      </c>
      <c r="Z163">
        <f>IF(Y163&gt;=90,"م",IF(Y163&gt;=80,"جـ جـ",IF(Y163&gt;=70,"جـ",IF(Y163&gt;=60,"ط",IF(Y163&gt;=50,"ل","ر")))))</f>
        <v>0</v>
      </c>
      <c r="AA163" s="8">
        <f>IF(AND(E163&gt;=50, G163&gt;=50, I163&gt;=50, K163&gt;=50, M163&gt;=50, O163&gt;=50, Q163&gt;=50, S163&gt;=50, U163&gt;=50, W163&gt;=50, Y163&gt;=50), "ناجح", "راسب")</f>
        <v>0</v>
      </c>
      <c r="AB163" s="8">
        <f>(E163*7 + G163*2 + I163*6 + K163*7 + M163*4 + O163*2 + Q163*4 + S163*4 + U163*2 + W163*0) / (7 + 2 + 6 + 7 + 4 + 2 + 4 + 4 + 2 + 0)</f>
        <v>0</v>
      </c>
      <c r="AC163" s="8">
        <f>IF(AB163&gt;=90,"امتياز",IF(AB163&gt;=80,"جيد جدا",IF(AB163&gt;=70,"جيد",IF(AB163&gt;=60,"متوسط",IF(AB163&gt;=50,"مقبول","راسب")))))</f>
        <v>0</v>
      </c>
      <c r="AD163" s="9"/>
      <c r="AE163" s="9"/>
      <c r="AF163" s="9"/>
    </row>
    <row r="164" spans="2:32">
      <c r="B164" s="9"/>
      <c r="C164" s="9"/>
      <c r="D164" s="9"/>
      <c r="AA164" s="9"/>
      <c r="AB164" s="9"/>
      <c r="AC164" s="9"/>
      <c r="AD164" s="9"/>
      <c r="AE164" s="9"/>
      <c r="AF164" s="9"/>
    </row>
    <row r="165" spans="2:32">
      <c r="B165" s="9"/>
      <c r="C165" s="9"/>
      <c r="D165" s="9"/>
      <c r="AA165" s="9"/>
      <c r="AB165" s="9"/>
      <c r="AC165" s="9"/>
      <c r="AD165" s="9"/>
      <c r="AE165" s="9"/>
      <c r="AF165" s="9"/>
    </row>
    <row r="166" spans="2:32">
      <c r="B166" s="7">
        <v>34</v>
      </c>
      <c r="C166" s="7" t="s">
        <v>93</v>
      </c>
      <c r="D166" t="s">
        <v>54</v>
      </c>
      <c r="F166">
        <f>IF(E166&gt;=90,"م",IF(E166&gt;=80,"جـ جـ",IF(E166&gt;=70,"جـ",IF(E166&gt;=60,"ط",IF(E166&gt;=50,"ل","ر")))))</f>
        <v>0</v>
      </c>
      <c r="H166">
        <f>IF(G166&gt;=90,"م",IF(G166&gt;=80,"جـ جـ",IF(G166&gt;=70,"جـ",IF(G166&gt;=60,"ط",IF(G166&gt;=50,"ل","ر")))))</f>
        <v>0</v>
      </c>
      <c r="J166">
        <f>IF(I166&gt;=90,"م",IF(I166&gt;=80,"جـ جـ",IF(I166&gt;=70,"جـ",IF(I166&gt;=60,"ط",IF(I166&gt;=50,"ل","ر")))))</f>
        <v>0</v>
      </c>
      <c r="L166">
        <f>IF(K166&gt;=90,"م",IF(K166&gt;=80,"جـ جـ",IF(K166&gt;=70,"جـ",IF(K166&gt;=60,"ط",IF(K166&gt;=50,"ل","ر")))))</f>
        <v>0</v>
      </c>
      <c r="N166">
        <f>IF(M166&gt;=90,"م",IF(M166&gt;=80,"جـ جـ",IF(M166&gt;=70,"جـ",IF(M166&gt;=60,"ط",IF(M166&gt;=50,"ل","ر")))))</f>
        <v>0</v>
      </c>
      <c r="P166">
        <f>IF(O166&gt;=90,"م",IF(O166&gt;=80,"جـ جـ",IF(O166&gt;=70,"جـ",IF(O166&gt;=60,"ط",IF(O166&gt;=50,"ل","ر")))))</f>
        <v>0</v>
      </c>
      <c r="R166">
        <f>IF(Q166&gt;=90,"م",IF(Q166&gt;=80,"جـ جـ",IF(Q166&gt;=70,"جـ",IF(Q166&gt;=60,"ط",IF(Q166&gt;=50,"ل","ر")))))</f>
        <v>0</v>
      </c>
      <c r="T166">
        <f>IF(S166&gt;=90,"م",IF(S166&gt;=80,"جـ جـ",IF(S166&gt;=70,"جـ",IF(S166&gt;=60,"ط",IF(S166&gt;=50,"ل","ر")))))</f>
        <v>0</v>
      </c>
      <c r="V166">
        <f>IF(U166&gt;=90,"م",IF(U166&gt;=80,"جـ جـ",IF(U166&gt;=70,"جـ",IF(U166&gt;=60,"ط",IF(U166&gt;=50,"ل","ر")))))</f>
        <v>0</v>
      </c>
      <c r="X166">
        <f>IF(W166&gt;=90,"م",IF(W166&gt;=80,"جـ جـ",IF(W166&gt;=70,"جـ",IF(W166&gt;=60,"ط",IF(W166&gt;=50,"ل","ر")))))</f>
        <v>0</v>
      </c>
      <c r="Z166">
        <f>IF(Y166&gt;=90,"م",IF(Y166&gt;=80,"جـ جـ",IF(Y166&gt;=70,"جـ",IF(Y166&gt;=60,"ط",IF(Y166&gt;=50,"ل","ر")))))</f>
        <v>0</v>
      </c>
      <c r="AA166" s="8">
        <f>IF(AND(E166&gt;=50, G166&gt;=50, I166&gt;=50, K166&gt;=50, M166&gt;=50, O166&gt;=50, Q166&gt;=50, S166&gt;=50, U166&gt;=50, W166&gt;=50, Y166&gt;=50), "ناجح", "راسب")</f>
        <v>0</v>
      </c>
      <c r="AB166" s="8">
        <f>(E166*7 + G166*2 + I166*6 + K166*7 + M166*4 + O166*2 + Q166*4 + S166*4 + U166*2 + W166*0) / (7 + 2 + 6 + 7 + 4 + 2 + 4 + 4 + 2 + 0)</f>
        <v>0</v>
      </c>
      <c r="AC166" s="8">
        <f>IF(AB166&gt;=90,"امتياز",IF(AB166&gt;=80,"جيد جدا",IF(AB166&gt;=70,"جيد",IF(AB166&gt;=60,"متوسط",IF(AB166&gt;=50,"مقبول","راسب")))))</f>
        <v>0</v>
      </c>
      <c r="AD166" s="9"/>
      <c r="AE166" s="9"/>
      <c r="AF166" s="9"/>
    </row>
    <row r="167" spans="2:32">
      <c r="B167" s="9"/>
      <c r="C167" s="9"/>
      <c r="D167" s="9"/>
      <c r="AA167" s="9"/>
      <c r="AB167" s="9"/>
      <c r="AC167" s="9"/>
      <c r="AD167" s="9"/>
      <c r="AE167" s="9"/>
      <c r="AF167" s="9"/>
    </row>
    <row r="168" spans="2:32">
      <c r="B168" s="9"/>
      <c r="C168" s="9"/>
      <c r="D168" s="9"/>
      <c r="AA168" s="9"/>
      <c r="AB168" s="9"/>
      <c r="AC168" s="9"/>
      <c r="AD168" s="9"/>
      <c r="AE168" s="9"/>
      <c r="AF168" s="9"/>
    </row>
    <row r="169" spans="2:32">
      <c r="B169" s="7">
        <v>35</v>
      </c>
      <c r="C169" s="7" t="s">
        <v>94</v>
      </c>
      <c r="D169" t="s">
        <v>54</v>
      </c>
      <c r="F169">
        <f>IF(E169&gt;=90,"م",IF(E169&gt;=80,"جـ جـ",IF(E169&gt;=70,"جـ",IF(E169&gt;=60,"ط",IF(E169&gt;=50,"ل","ر")))))</f>
        <v>0</v>
      </c>
      <c r="H169">
        <f>IF(G169&gt;=90,"م",IF(G169&gt;=80,"جـ جـ",IF(G169&gt;=70,"جـ",IF(G169&gt;=60,"ط",IF(G169&gt;=50,"ل","ر")))))</f>
        <v>0</v>
      </c>
      <c r="J169">
        <f>IF(I169&gt;=90,"م",IF(I169&gt;=80,"جـ جـ",IF(I169&gt;=70,"جـ",IF(I169&gt;=60,"ط",IF(I169&gt;=50,"ل","ر")))))</f>
        <v>0</v>
      </c>
      <c r="L169">
        <f>IF(K169&gt;=90,"م",IF(K169&gt;=80,"جـ جـ",IF(K169&gt;=70,"جـ",IF(K169&gt;=60,"ط",IF(K169&gt;=50,"ل","ر")))))</f>
        <v>0</v>
      </c>
      <c r="N169">
        <f>IF(M169&gt;=90,"م",IF(M169&gt;=80,"جـ جـ",IF(M169&gt;=70,"جـ",IF(M169&gt;=60,"ط",IF(M169&gt;=50,"ل","ر")))))</f>
        <v>0</v>
      </c>
      <c r="P169">
        <f>IF(O169&gt;=90,"م",IF(O169&gt;=80,"جـ جـ",IF(O169&gt;=70,"جـ",IF(O169&gt;=60,"ط",IF(O169&gt;=50,"ل","ر")))))</f>
        <v>0</v>
      </c>
      <c r="R169">
        <f>IF(Q169&gt;=90,"م",IF(Q169&gt;=80,"جـ جـ",IF(Q169&gt;=70,"جـ",IF(Q169&gt;=60,"ط",IF(Q169&gt;=50,"ل","ر")))))</f>
        <v>0</v>
      </c>
      <c r="T169">
        <f>IF(S169&gt;=90,"م",IF(S169&gt;=80,"جـ جـ",IF(S169&gt;=70,"جـ",IF(S169&gt;=60,"ط",IF(S169&gt;=50,"ل","ر")))))</f>
        <v>0</v>
      </c>
      <c r="V169">
        <f>IF(U169&gt;=90,"م",IF(U169&gt;=80,"جـ جـ",IF(U169&gt;=70,"جـ",IF(U169&gt;=60,"ط",IF(U169&gt;=50,"ل","ر")))))</f>
        <v>0</v>
      </c>
      <c r="X169">
        <f>IF(W169&gt;=90,"م",IF(W169&gt;=80,"جـ جـ",IF(W169&gt;=70,"جـ",IF(W169&gt;=60,"ط",IF(W169&gt;=50,"ل","ر")))))</f>
        <v>0</v>
      </c>
      <c r="Z169">
        <f>IF(Y169&gt;=90,"م",IF(Y169&gt;=80,"جـ جـ",IF(Y169&gt;=70,"جـ",IF(Y169&gt;=60,"ط",IF(Y169&gt;=50,"ل","ر")))))</f>
        <v>0</v>
      </c>
      <c r="AA169" s="8">
        <f>IF(AND(E169&gt;=50, G169&gt;=50, I169&gt;=50, K169&gt;=50, M169&gt;=50, O169&gt;=50, Q169&gt;=50, S169&gt;=50, U169&gt;=50, W169&gt;=50, Y169&gt;=50), "ناجح", "راسب")</f>
        <v>0</v>
      </c>
      <c r="AB169" s="8">
        <f>(E169*7 + G169*2 + I169*6 + K169*7 + M169*4 + O169*2 + Q169*4 + S169*4 + U169*2 + W169*0) / (7 + 2 + 6 + 7 + 4 + 2 + 4 + 4 + 2 + 0)</f>
        <v>0</v>
      </c>
      <c r="AC169" s="8">
        <f>IF(AB169&gt;=90,"امتياز",IF(AB169&gt;=80,"جيد جدا",IF(AB169&gt;=70,"جيد",IF(AB169&gt;=60,"متوسط",IF(AB169&gt;=50,"مقبول","راسب")))))</f>
        <v>0</v>
      </c>
      <c r="AD169" s="9"/>
      <c r="AE169" s="9"/>
      <c r="AF169" s="9"/>
    </row>
    <row r="170" spans="2:32">
      <c r="B170" s="9"/>
      <c r="C170" s="9"/>
      <c r="D170" s="9"/>
      <c r="AA170" s="9"/>
      <c r="AB170" s="9"/>
      <c r="AC170" s="9"/>
      <c r="AD170" s="9"/>
      <c r="AE170" s="9"/>
      <c r="AF170" s="9"/>
    </row>
    <row r="171" spans="2:32">
      <c r="B171" s="9"/>
      <c r="C171" s="9"/>
      <c r="D171" s="9"/>
      <c r="AA171" s="9"/>
      <c r="AB171" s="9"/>
      <c r="AC171" s="9"/>
      <c r="AD171" s="9"/>
      <c r="AE171" s="9"/>
      <c r="AF171" s="9"/>
    </row>
    <row r="172" spans="2:32">
      <c r="B172" s="7">
        <v>36</v>
      </c>
      <c r="C172" s="7" t="s">
        <v>90</v>
      </c>
      <c r="D172" t="s">
        <v>54</v>
      </c>
      <c r="F172">
        <f>IF(E172&gt;=90,"م",IF(E172&gt;=80,"جـ جـ",IF(E172&gt;=70,"جـ",IF(E172&gt;=60,"ط",IF(E172&gt;=50,"ل","ر")))))</f>
        <v>0</v>
      </c>
      <c r="H172">
        <f>IF(G172&gt;=90,"م",IF(G172&gt;=80,"جـ جـ",IF(G172&gt;=70,"جـ",IF(G172&gt;=60,"ط",IF(G172&gt;=50,"ل","ر")))))</f>
        <v>0</v>
      </c>
      <c r="J172">
        <f>IF(I172&gt;=90,"م",IF(I172&gt;=80,"جـ جـ",IF(I172&gt;=70,"جـ",IF(I172&gt;=60,"ط",IF(I172&gt;=50,"ل","ر")))))</f>
        <v>0</v>
      </c>
      <c r="L172">
        <f>IF(K172&gt;=90,"م",IF(K172&gt;=80,"جـ جـ",IF(K172&gt;=70,"جـ",IF(K172&gt;=60,"ط",IF(K172&gt;=50,"ل","ر")))))</f>
        <v>0</v>
      </c>
      <c r="N172">
        <f>IF(M172&gt;=90,"م",IF(M172&gt;=80,"جـ جـ",IF(M172&gt;=70,"جـ",IF(M172&gt;=60,"ط",IF(M172&gt;=50,"ل","ر")))))</f>
        <v>0</v>
      </c>
      <c r="P172">
        <f>IF(O172&gt;=90,"م",IF(O172&gt;=80,"جـ جـ",IF(O172&gt;=70,"جـ",IF(O172&gt;=60,"ط",IF(O172&gt;=50,"ل","ر")))))</f>
        <v>0</v>
      </c>
      <c r="R172">
        <f>IF(Q172&gt;=90,"م",IF(Q172&gt;=80,"جـ جـ",IF(Q172&gt;=70,"جـ",IF(Q172&gt;=60,"ط",IF(Q172&gt;=50,"ل","ر")))))</f>
        <v>0</v>
      </c>
      <c r="T172">
        <f>IF(S172&gt;=90,"م",IF(S172&gt;=80,"جـ جـ",IF(S172&gt;=70,"جـ",IF(S172&gt;=60,"ط",IF(S172&gt;=50,"ل","ر")))))</f>
        <v>0</v>
      </c>
      <c r="V172">
        <f>IF(U172&gt;=90,"م",IF(U172&gt;=80,"جـ جـ",IF(U172&gt;=70,"جـ",IF(U172&gt;=60,"ط",IF(U172&gt;=50,"ل","ر")))))</f>
        <v>0</v>
      </c>
      <c r="X172">
        <f>IF(W172&gt;=90,"م",IF(W172&gt;=80,"جـ جـ",IF(W172&gt;=70,"جـ",IF(W172&gt;=60,"ط",IF(W172&gt;=50,"ل","ر")))))</f>
        <v>0</v>
      </c>
      <c r="Z172">
        <f>IF(Y172&gt;=90,"م",IF(Y172&gt;=80,"جـ جـ",IF(Y172&gt;=70,"جـ",IF(Y172&gt;=60,"ط",IF(Y172&gt;=50,"ل","ر")))))</f>
        <v>0</v>
      </c>
      <c r="AA172" s="8">
        <f>IF(AND(E172&gt;=50, G172&gt;=50, I172&gt;=50, K172&gt;=50, M172&gt;=50, O172&gt;=50, Q172&gt;=50, S172&gt;=50, U172&gt;=50, W172&gt;=50, Y172&gt;=50), "ناجح", "راسب")</f>
        <v>0</v>
      </c>
      <c r="AB172" s="8">
        <f>(E172*7 + G172*2 + I172*6 + K172*7 + M172*4 + O172*2 + Q172*4 + S172*4 + U172*2 + W172*0) / (7 + 2 + 6 + 7 + 4 + 2 + 4 + 4 + 2 + 0)</f>
        <v>0</v>
      </c>
      <c r="AC172" s="8">
        <f>IF(AB172&gt;=90,"امتياز",IF(AB172&gt;=80,"جيد جدا",IF(AB172&gt;=70,"جيد",IF(AB172&gt;=60,"متوسط",IF(AB172&gt;=50,"مقبول","راسب")))))</f>
        <v>0</v>
      </c>
      <c r="AD172" s="9"/>
      <c r="AE172" s="9"/>
      <c r="AF172" s="9"/>
    </row>
    <row r="173" spans="2:32">
      <c r="B173" s="9"/>
      <c r="C173" s="9"/>
      <c r="D173" s="9"/>
      <c r="AA173" s="9"/>
      <c r="AB173" s="9"/>
      <c r="AC173" s="9"/>
      <c r="AD173" s="9"/>
      <c r="AE173" s="9"/>
      <c r="AF173" s="9"/>
    </row>
    <row r="174" spans="2:32">
      <c r="B174" s="9"/>
      <c r="C174" s="9"/>
      <c r="D174" s="9"/>
      <c r="AA174" s="9"/>
      <c r="AB174" s="9"/>
      <c r="AC174" s="9"/>
      <c r="AD174" s="9"/>
      <c r="AE174" s="9"/>
      <c r="AF174" s="9"/>
    </row>
    <row r="175" spans="2:32">
      <c r="B175" s="7">
        <v>37</v>
      </c>
      <c r="C175" s="7" t="s">
        <v>91</v>
      </c>
      <c r="D175" t="s">
        <v>54</v>
      </c>
      <c r="F175">
        <f>IF(E175&gt;=90,"م",IF(E175&gt;=80,"جـ جـ",IF(E175&gt;=70,"جـ",IF(E175&gt;=60,"ط",IF(E175&gt;=50,"ل","ر")))))</f>
        <v>0</v>
      </c>
      <c r="H175">
        <f>IF(G175&gt;=90,"م",IF(G175&gt;=80,"جـ جـ",IF(G175&gt;=70,"جـ",IF(G175&gt;=60,"ط",IF(G175&gt;=50,"ل","ر")))))</f>
        <v>0</v>
      </c>
      <c r="J175">
        <f>IF(I175&gt;=90,"م",IF(I175&gt;=80,"جـ جـ",IF(I175&gt;=70,"جـ",IF(I175&gt;=60,"ط",IF(I175&gt;=50,"ل","ر")))))</f>
        <v>0</v>
      </c>
      <c r="L175">
        <f>IF(K175&gt;=90,"م",IF(K175&gt;=80,"جـ جـ",IF(K175&gt;=70,"جـ",IF(K175&gt;=60,"ط",IF(K175&gt;=50,"ل","ر")))))</f>
        <v>0</v>
      </c>
      <c r="N175">
        <f>IF(M175&gt;=90,"م",IF(M175&gt;=80,"جـ جـ",IF(M175&gt;=70,"جـ",IF(M175&gt;=60,"ط",IF(M175&gt;=50,"ل","ر")))))</f>
        <v>0</v>
      </c>
      <c r="P175">
        <f>IF(O175&gt;=90,"م",IF(O175&gt;=80,"جـ جـ",IF(O175&gt;=70,"جـ",IF(O175&gt;=60,"ط",IF(O175&gt;=50,"ل","ر")))))</f>
        <v>0</v>
      </c>
      <c r="R175">
        <f>IF(Q175&gt;=90,"م",IF(Q175&gt;=80,"جـ جـ",IF(Q175&gt;=70,"جـ",IF(Q175&gt;=60,"ط",IF(Q175&gt;=50,"ل","ر")))))</f>
        <v>0</v>
      </c>
      <c r="T175">
        <f>IF(S175&gt;=90,"م",IF(S175&gt;=80,"جـ جـ",IF(S175&gt;=70,"جـ",IF(S175&gt;=60,"ط",IF(S175&gt;=50,"ل","ر")))))</f>
        <v>0</v>
      </c>
      <c r="V175">
        <f>IF(U175&gt;=90,"م",IF(U175&gt;=80,"جـ جـ",IF(U175&gt;=70,"جـ",IF(U175&gt;=60,"ط",IF(U175&gt;=50,"ل","ر")))))</f>
        <v>0</v>
      </c>
      <c r="X175">
        <f>IF(W175&gt;=90,"م",IF(W175&gt;=80,"جـ جـ",IF(W175&gt;=70,"جـ",IF(W175&gt;=60,"ط",IF(W175&gt;=50,"ل","ر")))))</f>
        <v>0</v>
      </c>
      <c r="Z175">
        <f>IF(Y175&gt;=90,"م",IF(Y175&gt;=80,"جـ جـ",IF(Y175&gt;=70,"جـ",IF(Y175&gt;=60,"ط",IF(Y175&gt;=50,"ل","ر")))))</f>
        <v>0</v>
      </c>
      <c r="AA175" s="8">
        <f>IF(AND(E175&gt;=50, G175&gt;=50, I175&gt;=50, K175&gt;=50, M175&gt;=50, O175&gt;=50, Q175&gt;=50, S175&gt;=50, U175&gt;=50, W175&gt;=50, Y175&gt;=50), "ناجح", "راسب")</f>
        <v>0</v>
      </c>
      <c r="AB175" s="8">
        <f>(E175*7 + G175*2 + I175*6 + K175*7 + M175*4 + O175*2 + Q175*4 + S175*4 + U175*2 + W175*0) / (7 + 2 + 6 + 7 + 4 + 2 + 4 + 4 + 2 + 0)</f>
        <v>0</v>
      </c>
      <c r="AC175" s="8">
        <f>IF(AB175&gt;=90,"امتياز",IF(AB175&gt;=80,"جيد جدا",IF(AB175&gt;=70,"جيد",IF(AB175&gt;=60,"متوسط",IF(AB175&gt;=50,"مقبول","راسب")))))</f>
        <v>0</v>
      </c>
      <c r="AD175" s="9"/>
      <c r="AE175" s="9"/>
      <c r="AF175" s="9"/>
    </row>
    <row r="176" spans="2:32">
      <c r="B176" s="9"/>
      <c r="C176" s="9"/>
      <c r="D176" s="9"/>
      <c r="AA176" s="9"/>
      <c r="AB176" s="9"/>
      <c r="AC176" s="9"/>
      <c r="AD176" s="9"/>
      <c r="AE176" s="9"/>
      <c r="AF176" s="9"/>
    </row>
    <row r="177" spans="2:32">
      <c r="B177" s="9"/>
      <c r="C177" s="9"/>
      <c r="D177" s="9"/>
      <c r="AA177" s="9"/>
      <c r="AB177" s="9"/>
      <c r="AC177" s="9"/>
      <c r="AD177" s="9"/>
      <c r="AE177" s="9"/>
      <c r="AF177" s="9"/>
    </row>
    <row r="178" spans="2:32">
      <c r="B178" s="7">
        <v>38</v>
      </c>
      <c r="C178" s="7" t="s">
        <v>92</v>
      </c>
      <c r="D178" t="s">
        <v>54</v>
      </c>
      <c r="F178">
        <f>IF(E178&gt;=90,"م",IF(E178&gt;=80,"جـ جـ",IF(E178&gt;=70,"جـ",IF(E178&gt;=60,"ط",IF(E178&gt;=50,"ل","ر")))))</f>
        <v>0</v>
      </c>
      <c r="H178">
        <f>IF(G178&gt;=90,"م",IF(G178&gt;=80,"جـ جـ",IF(G178&gt;=70,"جـ",IF(G178&gt;=60,"ط",IF(G178&gt;=50,"ل","ر")))))</f>
        <v>0</v>
      </c>
      <c r="J178">
        <f>IF(I178&gt;=90,"م",IF(I178&gt;=80,"جـ جـ",IF(I178&gt;=70,"جـ",IF(I178&gt;=60,"ط",IF(I178&gt;=50,"ل","ر")))))</f>
        <v>0</v>
      </c>
      <c r="L178">
        <f>IF(K178&gt;=90,"م",IF(K178&gt;=80,"جـ جـ",IF(K178&gt;=70,"جـ",IF(K178&gt;=60,"ط",IF(K178&gt;=50,"ل","ر")))))</f>
        <v>0</v>
      </c>
      <c r="N178">
        <f>IF(M178&gt;=90,"م",IF(M178&gt;=80,"جـ جـ",IF(M178&gt;=70,"جـ",IF(M178&gt;=60,"ط",IF(M178&gt;=50,"ل","ر")))))</f>
        <v>0</v>
      </c>
      <c r="P178">
        <f>IF(O178&gt;=90,"م",IF(O178&gt;=80,"جـ جـ",IF(O178&gt;=70,"جـ",IF(O178&gt;=60,"ط",IF(O178&gt;=50,"ل","ر")))))</f>
        <v>0</v>
      </c>
      <c r="R178">
        <f>IF(Q178&gt;=90,"م",IF(Q178&gt;=80,"جـ جـ",IF(Q178&gt;=70,"جـ",IF(Q178&gt;=60,"ط",IF(Q178&gt;=50,"ل","ر")))))</f>
        <v>0</v>
      </c>
      <c r="T178">
        <f>IF(S178&gt;=90,"م",IF(S178&gt;=80,"جـ جـ",IF(S178&gt;=70,"جـ",IF(S178&gt;=60,"ط",IF(S178&gt;=50,"ل","ر")))))</f>
        <v>0</v>
      </c>
      <c r="V178">
        <f>IF(U178&gt;=90,"م",IF(U178&gt;=80,"جـ جـ",IF(U178&gt;=70,"جـ",IF(U178&gt;=60,"ط",IF(U178&gt;=50,"ل","ر")))))</f>
        <v>0</v>
      </c>
      <c r="X178">
        <f>IF(W178&gt;=90,"م",IF(W178&gt;=80,"جـ جـ",IF(W178&gt;=70,"جـ",IF(W178&gt;=60,"ط",IF(W178&gt;=50,"ل","ر")))))</f>
        <v>0</v>
      </c>
      <c r="Z178">
        <f>IF(Y178&gt;=90,"م",IF(Y178&gt;=80,"جـ جـ",IF(Y178&gt;=70,"جـ",IF(Y178&gt;=60,"ط",IF(Y178&gt;=50,"ل","ر")))))</f>
        <v>0</v>
      </c>
      <c r="AA178" s="8">
        <f>IF(AND(E178&gt;=50, G178&gt;=50, I178&gt;=50, K178&gt;=50, M178&gt;=50, O178&gt;=50, Q178&gt;=50, S178&gt;=50, U178&gt;=50, W178&gt;=50, Y178&gt;=50), "ناجح", "راسب")</f>
        <v>0</v>
      </c>
      <c r="AB178" s="8">
        <f>(E178*7 + G178*2 + I178*6 + K178*7 + M178*4 + O178*2 + Q178*4 + S178*4 + U178*2 + W178*0) / (7 + 2 + 6 + 7 + 4 + 2 + 4 + 4 + 2 + 0)</f>
        <v>0</v>
      </c>
      <c r="AC178" s="8">
        <f>IF(AB178&gt;=90,"امتياز",IF(AB178&gt;=80,"جيد جدا",IF(AB178&gt;=70,"جيد",IF(AB178&gt;=60,"متوسط",IF(AB178&gt;=50,"مقبول","راسب")))))</f>
        <v>0</v>
      </c>
      <c r="AD178" s="9"/>
      <c r="AE178" s="9"/>
      <c r="AF178" s="9"/>
    </row>
    <row r="179" spans="2:32">
      <c r="B179" s="9"/>
      <c r="C179" s="9"/>
      <c r="D179" s="9"/>
      <c r="AA179" s="9"/>
      <c r="AB179" s="9"/>
      <c r="AC179" s="9"/>
      <c r="AD179" s="9"/>
      <c r="AE179" s="9"/>
      <c r="AF179" s="9"/>
    </row>
    <row r="180" spans="2:32">
      <c r="B180" s="9"/>
      <c r="C180" s="9"/>
      <c r="D180" s="9"/>
      <c r="AA180" s="9"/>
      <c r="AB180" s="9"/>
      <c r="AC180" s="9"/>
      <c r="AD180" s="9"/>
      <c r="AE180" s="9"/>
      <c r="AF180" s="9"/>
    </row>
    <row r="181" spans="2:32">
      <c r="B181" s="7">
        <v>39</v>
      </c>
      <c r="C181" s="7" t="s">
        <v>93</v>
      </c>
      <c r="D181" t="s">
        <v>54</v>
      </c>
      <c r="F181">
        <f>IF(E181&gt;=90,"م",IF(E181&gt;=80,"جـ جـ",IF(E181&gt;=70,"جـ",IF(E181&gt;=60,"ط",IF(E181&gt;=50,"ل","ر")))))</f>
        <v>0</v>
      </c>
      <c r="H181">
        <f>IF(G181&gt;=90,"م",IF(G181&gt;=80,"جـ جـ",IF(G181&gt;=70,"جـ",IF(G181&gt;=60,"ط",IF(G181&gt;=50,"ل","ر")))))</f>
        <v>0</v>
      </c>
      <c r="J181">
        <f>IF(I181&gt;=90,"م",IF(I181&gt;=80,"جـ جـ",IF(I181&gt;=70,"جـ",IF(I181&gt;=60,"ط",IF(I181&gt;=50,"ل","ر")))))</f>
        <v>0</v>
      </c>
      <c r="L181">
        <f>IF(K181&gt;=90,"م",IF(K181&gt;=80,"جـ جـ",IF(K181&gt;=70,"جـ",IF(K181&gt;=60,"ط",IF(K181&gt;=50,"ل","ر")))))</f>
        <v>0</v>
      </c>
      <c r="N181">
        <f>IF(M181&gt;=90,"م",IF(M181&gt;=80,"جـ جـ",IF(M181&gt;=70,"جـ",IF(M181&gt;=60,"ط",IF(M181&gt;=50,"ل","ر")))))</f>
        <v>0</v>
      </c>
      <c r="P181">
        <f>IF(O181&gt;=90,"م",IF(O181&gt;=80,"جـ جـ",IF(O181&gt;=70,"جـ",IF(O181&gt;=60,"ط",IF(O181&gt;=50,"ل","ر")))))</f>
        <v>0</v>
      </c>
      <c r="R181">
        <f>IF(Q181&gt;=90,"م",IF(Q181&gt;=80,"جـ جـ",IF(Q181&gt;=70,"جـ",IF(Q181&gt;=60,"ط",IF(Q181&gt;=50,"ل","ر")))))</f>
        <v>0</v>
      </c>
      <c r="T181">
        <f>IF(S181&gt;=90,"م",IF(S181&gt;=80,"جـ جـ",IF(S181&gt;=70,"جـ",IF(S181&gt;=60,"ط",IF(S181&gt;=50,"ل","ر")))))</f>
        <v>0</v>
      </c>
      <c r="V181">
        <f>IF(U181&gt;=90,"م",IF(U181&gt;=80,"جـ جـ",IF(U181&gt;=70,"جـ",IF(U181&gt;=60,"ط",IF(U181&gt;=50,"ل","ر")))))</f>
        <v>0</v>
      </c>
      <c r="X181">
        <f>IF(W181&gt;=90,"م",IF(W181&gt;=80,"جـ جـ",IF(W181&gt;=70,"جـ",IF(W181&gt;=60,"ط",IF(W181&gt;=50,"ل","ر")))))</f>
        <v>0</v>
      </c>
      <c r="Z181">
        <f>IF(Y181&gt;=90,"م",IF(Y181&gt;=80,"جـ جـ",IF(Y181&gt;=70,"جـ",IF(Y181&gt;=60,"ط",IF(Y181&gt;=50,"ل","ر")))))</f>
        <v>0</v>
      </c>
      <c r="AA181" s="8">
        <f>IF(AND(E181&gt;=50, G181&gt;=50, I181&gt;=50, K181&gt;=50, M181&gt;=50, O181&gt;=50, Q181&gt;=50, S181&gt;=50, U181&gt;=50, W181&gt;=50, Y181&gt;=50), "ناجح", "راسب")</f>
        <v>0</v>
      </c>
      <c r="AB181" s="8">
        <f>(E181*7 + G181*2 + I181*6 + K181*7 + M181*4 + O181*2 + Q181*4 + S181*4 + U181*2 + W181*0) / (7 + 2 + 6 + 7 + 4 + 2 + 4 + 4 + 2 + 0)</f>
        <v>0</v>
      </c>
      <c r="AC181" s="8">
        <f>IF(AB181&gt;=90,"امتياز",IF(AB181&gt;=80,"جيد جدا",IF(AB181&gt;=70,"جيد",IF(AB181&gt;=60,"متوسط",IF(AB181&gt;=50,"مقبول","راسب")))))</f>
        <v>0</v>
      </c>
      <c r="AD181" s="9"/>
      <c r="AE181" s="9"/>
      <c r="AF181" s="9"/>
    </row>
    <row r="182" spans="2:32">
      <c r="B182" s="9"/>
      <c r="C182" s="9"/>
      <c r="D182" s="9"/>
      <c r="AA182" s="9"/>
      <c r="AB182" s="9"/>
      <c r="AC182" s="9"/>
      <c r="AD182" s="9"/>
      <c r="AE182" s="9"/>
      <c r="AF182" s="9"/>
    </row>
    <row r="183" spans="2:32">
      <c r="B183" s="9"/>
      <c r="C183" s="9"/>
      <c r="D183" s="9"/>
      <c r="AA183" s="9"/>
      <c r="AB183" s="9"/>
      <c r="AC183" s="9"/>
      <c r="AD183" s="9"/>
      <c r="AE183" s="9"/>
      <c r="AF183" s="9"/>
    </row>
    <row r="184" spans="2:32">
      <c r="B184" s="7">
        <v>40</v>
      </c>
      <c r="C184" s="7" t="s">
        <v>94</v>
      </c>
      <c r="D184" t="s">
        <v>54</v>
      </c>
      <c r="F184">
        <f>IF(E184&gt;=90,"م",IF(E184&gt;=80,"جـ جـ",IF(E184&gt;=70,"جـ",IF(E184&gt;=60,"ط",IF(E184&gt;=50,"ل","ر")))))</f>
        <v>0</v>
      </c>
      <c r="H184">
        <f>IF(G184&gt;=90,"م",IF(G184&gt;=80,"جـ جـ",IF(G184&gt;=70,"جـ",IF(G184&gt;=60,"ط",IF(G184&gt;=50,"ل","ر")))))</f>
        <v>0</v>
      </c>
      <c r="J184">
        <f>IF(I184&gt;=90,"م",IF(I184&gt;=80,"جـ جـ",IF(I184&gt;=70,"جـ",IF(I184&gt;=60,"ط",IF(I184&gt;=50,"ل","ر")))))</f>
        <v>0</v>
      </c>
      <c r="L184">
        <f>IF(K184&gt;=90,"م",IF(K184&gt;=80,"جـ جـ",IF(K184&gt;=70,"جـ",IF(K184&gt;=60,"ط",IF(K184&gt;=50,"ل","ر")))))</f>
        <v>0</v>
      </c>
      <c r="N184">
        <f>IF(M184&gt;=90,"م",IF(M184&gt;=80,"جـ جـ",IF(M184&gt;=70,"جـ",IF(M184&gt;=60,"ط",IF(M184&gt;=50,"ل","ر")))))</f>
        <v>0</v>
      </c>
      <c r="P184">
        <f>IF(O184&gt;=90,"م",IF(O184&gt;=80,"جـ جـ",IF(O184&gt;=70,"جـ",IF(O184&gt;=60,"ط",IF(O184&gt;=50,"ل","ر")))))</f>
        <v>0</v>
      </c>
      <c r="R184">
        <f>IF(Q184&gt;=90,"م",IF(Q184&gt;=80,"جـ جـ",IF(Q184&gt;=70,"جـ",IF(Q184&gt;=60,"ط",IF(Q184&gt;=50,"ل","ر")))))</f>
        <v>0</v>
      </c>
      <c r="T184">
        <f>IF(S184&gt;=90,"م",IF(S184&gt;=80,"جـ جـ",IF(S184&gt;=70,"جـ",IF(S184&gt;=60,"ط",IF(S184&gt;=50,"ل","ر")))))</f>
        <v>0</v>
      </c>
      <c r="V184">
        <f>IF(U184&gt;=90,"م",IF(U184&gt;=80,"جـ جـ",IF(U184&gt;=70,"جـ",IF(U184&gt;=60,"ط",IF(U184&gt;=50,"ل","ر")))))</f>
        <v>0</v>
      </c>
      <c r="X184">
        <f>IF(W184&gt;=90,"م",IF(W184&gt;=80,"جـ جـ",IF(W184&gt;=70,"جـ",IF(W184&gt;=60,"ط",IF(W184&gt;=50,"ل","ر")))))</f>
        <v>0</v>
      </c>
      <c r="Z184">
        <f>IF(Y184&gt;=90,"م",IF(Y184&gt;=80,"جـ جـ",IF(Y184&gt;=70,"جـ",IF(Y184&gt;=60,"ط",IF(Y184&gt;=50,"ل","ر")))))</f>
        <v>0</v>
      </c>
      <c r="AA184" s="8">
        <f>IF(AND(E184&gt;=50, G184&gt;=50, I184&gt;=50, K184&gt;=50, M184&gt;=50, O184&gt;=50, Q184&gt;=50, S184&gt;=50, U184&gt;=50, W184&gt;=50, Y184&gt;=50), "ناجح", "راسب")</f>
        <v>0</v>
      </c>
      <c r="AB184" s="8">
        <f>(E184*7 + G184*2 + I184*6 + K184*7 + M184*4 + O184*2 + Q184*4 + S184*4 + U184*2 + W184*0) / (7 + 2 + 6 + 7 + 4 + 2 + 4 + 4 + 2 + 0)</f>
        <v>0</v>
      </c>
      <c r="AC184" s="8">
        <f>IF(AB184&gt;=90,"امتياز",IF(AB184&gt;=80,"جيد جدا",IF(AB184&gt;=70,"جيد",IF(AB184&gt;=60,"متوسط",IF(AB184&gt;=50,"مقبول","راسب")))))</f>
        <v>0</v>
      </c>
      <c r="AD184" s="9"/>
      <c r="AE184" s="9"/>
      <c r="AF184" s="9"/>
    </row>
    <row r="185" spans="2:32">
      <c r="B185" s="9"/>
      <c r="C185" s="9"/>
      <c r="D185" s="9"/>
      <c r="AA185" s="9"/>
      <c r="AB185" s="9"/>
      <c r="AC185" s="9"/>
      <c r="AD185" s="9"/>
      <c r="AE185" s="9"/>
      <c r="AF185" s="9"/>
    </row>
    <row r="186" spans="2:32">
      <c r="B186" s="9"/>
      <c r="C186" s="9"/>
      <c r="D186" s="9"/>
      <c r="AA186" s="9"/>
      <c r="AB186" s="9"/>
      <c r="AC186" s="9"/>
      <c r="AD186" s="9"/>
      <c r="AE186" s="9"/>
      <c r="AF186" s="9"/>
    </row>
    <row r="188" spans="2:32">
      <c r="C188" s="9" t="s">
        <v>29</v>
      </c>
    </row>
    <row r="189" spans="2:32">
      <c r="C189" s="9" t="s">
        <v>30</v>
      </c>
      <c r="F189" s="9" t="s">
        <v>33</v>
      </c>
      <c r="K189" s="9" t="s">
        <v>36</v>
      </c>
      <c r="P189" s="9" t="s">
        <v>39</v>
      </c>
      <c r="W189" s="9" t="s">
        <v>42</v>
      </c>
      <c r="AB189" s="9" t="s">
        <v>42</v>
      </c>
      <c r="AF189" s="9" t="s">
        <v>45</v>
      </c>
    </row>
    <row r="190" spans="2:32">
      <c r="C190" s="9" t="s">
        <v>31</v>
      </c>
      <c r="F190" s="9" t="s">
        <v>34</v>
      </c>
      <c r="K190" s="9" t="s">
        <v>37</v>
      </c>
      <c r="P190" s="9" t="s">
        <v>40</v>
      </c>
      <c r="W190" s="9" t="s">
        <v>43</v>
      </c>
      <c r="AB190" s="9" t="s">
        <v>44</v>
      </c>
      <c r="AF190" s="9" t="s">
        <v>46</v>
      </c>
    </row>
    <row r="191" spans="2:32">
      <c r="C191" s="9" t="s">
        <v>32</v>
      </c>
      <c r="F191" s="9" t="s">
        <v>35</v>
      </c>
      <c r="K191" s="9" t="s">
        <v>38</v>
      </c>
      <c r="P191" s="9" t="s">
        <v>41</v>
      </c>
    </row>
    <row r="193" spans="2:32">
      <c r="B193" s="9" t="s">
        <v>47</v>
      </c>
      <c r="C193" s="9" t="s">
        <v>48</v>
      </c>
    </row>
    <row r="194" spans="2:32">
      <c r="B194" s="9" t="s">
        <v>49</v>
      </c>
      <c r="C194" s="9" t="s">
        <v>50</v>
      </c>
    </row>
    <row r="195" spans="2:32">
      <c r="B195" s="9" t="s">
        <v>51</v>
      </c>
      <c r="C195" s="9" t="s">
        <v>52</v>
      </c>
    </row>
    <row r="201" spans="2:32">
      <c r="C201" s="1" t="s">
        <v>1</v>
      </c>
      <c r="G201" s="2" t="s">
        <v>96</v>
      </c>
      <c r="H201" s="2"/>
      <c r="I201" s="2"/>
      <c r="J201" s="2"/>
      <c r="K201" s="2"/>
      <c r="L201" s="2"/>
      <c r="M201" s="2"/>
      <c r="N201" s="2"/>
      <c r="AF201" s="1" t="s">
        <v>3</v>
      </c>
    </row>
    <row r="202" spans="2:32">
      <c r="C202" s="1" t="s">
        <v>2</v>
      </c>
      <c r="AF202" s="1" t="s">
        <v>4</v>
      </c>
    </row>
    <row r="203" spans="2:32">
      <c r="AF203" s="1" t="s">
        <v>5</v>
      </c>
    </row>
    <row r="204" spans="2:32">
      <c r="G204" s="1" t="s">
        <v>6</v>
      </c>
    </row>
    <row r="205" spans="2:32">
      <c r="B205" s="3" t="s">
        <v>8</v>
      </c>
      <c r="C205" s="4" t="s">
        <v>7</v>
      </c>
      <c r="D205" s="3" t="s">
        <v>10</v>
      </c>
      <c r="E205" s="5">
        <v>7</v>
      </c>
      <c r="F205" s="5"/>
      <c r="G205" s="5">
        <v>2</v>
      </c>
      <c r="H205" s="5"/>
      <c r="I205" s="5">
        <v>6</v>
      </c>
      <c r="J205" s="5"/>
      <c r="K205" s="5">
        <v>7</v>
      </c>
      <c r="L205" s="5"/>
      <c r="M205" s="5">
        <v>4</v>
      </c>
      <c r="N205" s="5"/>
      <c r="O205" s="5">
        <v>2</v>
      </c>
      <c r="P205" s="5"/>
      <c r="Q205" s="5">
        <v>4</v>
      </c>
      <c r="R205" s="5"/>
      <c r="S205" s="5">
        <v>4</v>
      </c>
      <c r="T205" s="5"/>
      <c r="U205" s="5">
        <v>2</v>
      </c>
      <c r="V205" s="5"/>
      <c r="W205" s="5">
        <v>0</v>
      </c>
      <c r="X205" s="5"/>
      <c r="Y205" s="5">
        <v>3</v>
      </c>
      <c r="Z205" s="5"/>
      <c r="AA205" s="3" t="s">
        <v>23</v>
      </c>
      <c r="AB205" s="3" t="s">
        <v>24</v>
      </c>
      <c r="AC205" s="3" t="s">
        <v>25</v>
      </c>
      <c r="AD205" s="3" t="s">
        <v>26</v>
      </c>
      <c r="AE205" s="3" t="s">
        <v>27</v>
      </c>
      <c r="AF205" s="5" t="s">
        <v>28</v>
      </c>
    </row>
    <row r="206" spans="2:32" ht="40" customHeight="1">
      <c r="B206" s="3"/>
      <c r="C206" s="6" t="s">
        <v>11</v>
      </c>
      <c r="D206" s="3"/>
      <c r="E206" s="5" t="s">
        <v>13</v>
      </c>
      <c r="F206" s="5"/>
      <c r="G206" s="5" t="s">
        <v>14</v>
      </c>
      <c r="H206" s="5"/>
      <c r="I206" s="5" t="s">
        <v>15</v>
      </c>
      <c r="J206" s="5"/>
      <c r="K206" s="5" t="s">
        <v>16</v>
      </c>
      <c r="L206" s="5"/>
      <c r="M206" s="5" t="s">
        <v>17</v>
      </c>
      <c r="N206" s="5"/>
      <c r="O206" s="5" t="s">
        <v>18</v>
      </c>
      <c r="P206" s="5"/>
      <c r="Q206" s="5" t="s">
        <v>19</v>
      </c>
      <c r="R206" s="5"/>
      <c r="S206" s="5" t="s">
        <v>20</v>
      </c>
      <c r="T206" s="5"/>
      <c r="U206" s="5" t="s">
        <v>21</v>
      </c>
      <c r="V206" s="5"/>
      <c r="W206" s="5" t="s">
        <v>22</v>
      </c>
      <c r="X206" s="5"/>
      <c r="Y206" s="5" t="s">
        <v>21</v>
      </c>
      <c r="Z206" s="5"/>
      <c r="AA206" s="3"/>
      <c r="AB206" s="3"/>
      <c r="AC206" s="3"/>
      <c r="AD206" s="3"/>
      <c r="AE206" s="3"/>
      <c r="AF206" s="5"/>
    </row>
    <row r="207" spans="2:32">
      <c r="B207" s="7">
        <v>41</v>
      </c>
      <c r="C207" s="7" t="s">
        <v>90</v>
      </c>
      <c r="D207" t="s">
        <v>54</v>
      </c>
      <c r="F207">
        <f>IF(E207&gt;=90,"م",IF(E207&gt;=80,"جـ جـ",IF(E207&gt;=70,"جـ",IF(E207&gt;=60,"ط",IF(E207&gt;=50,"ل","ر")))))</f>
        <v>0</v>
      </c>
      <c r="H207">
        <f>IF(G207&gt;=90,"م",IF(G207&gt;=80,"جـ جـ",IF(G207&gt;=70,"جـ",IF(G207&gt;=60,"ط",IF(G207&gt;=50,"ل","ر")))))</f>
        <v>0</v>
      </c>
      <c r="J207">
        <f>IF(I207&gt;=90,"م",IF(I207&gt;=80,"جـ جـ",IF(I207&gt;=70,"جـ",IF(I207&gt;=60,"ط",IF(I207&gt;=50,"ل","ر")))))</f>
        <v>0</v>
      </c>
      <c r="L207">
        <f>IF(K207&gt;=90,"م",IF(K207&gt;=80,"جـ جـ",IF(K207&gt;=70,"جـ",IF(K207&gt;=60,"ط",IF(K207&gt;=50,"ل","ر")))))</f>
        <v>0</v>
      </c>
      <c r="N207">
        <f>IF(M207&gt;=90,"م",IF(M207&gt;=80,"جـ جـ",IF(M207&gt;=70,"جـ",IF(M207&gt;=60,"ط",IF(M207&gt;=50,"ل","ر")))))</f>
        <v>0</v>
      </c>
      <c r="P207">
        <f>IF(O207&gt;=90,"م",IF(O207&gt;=80,"جـ جـ",IF(O207&gt;=70,"جـ",IF(O207&gt;=60,"ط",IF(O207&gt;=50,"ل","ر")))))</f>
        <v>0</v>
      </c>
      <c r="R207">
        <f>IF(Q207&gt;=90,"م",IF(Q207&gt;=80,"جـ جـ",IF(Q207&gt;=70,"جـ",IF(Q207&gt;=60,"ط",IF(Q207&gt;=50,"ل","ر")))))</f>
        <v>0</v>
      </c>
      <c r="T207">
        <f>IF(S207&gt;=90,"م",IF(S207&gt;=80,"جـ جـ",IF(S207&gt;=70,"جـ",IF(S207&gt;=60,"ط",IF(S207&gt;=50,"ل","ر")))))</f>
        <v>0</v>
      </c>
      <c r="V207">
        <f>IF(U207&gt;=90,"م",IF(U207&gt;=80,"جـ جـ",IF(U207&gt;=70,"جـ",IF(U207&gt;=60,"ط",IF(U207&gt;=50,"ل","ر")))))</f>
        <v>0</v>
      </c>
      <c r="X207">
        <f>IF(W207&gt;=90,"م",IF(W207&gt;=80,"جـ جـ",IF(W207&gt;=70,"جـ",IF(W207&gt;=60,"ط",IF(W207&gt;=50,"ل","ر")))))</f>
        <v>0</v>
      </c>
      <c r="Z207">
        <f>IF(Y207&gt;=90,"م",IF(Y207&gt;=80,"جـ جـ",IF(Y207&gt;=70,"جـ",IF(Y207&gt;=60,"ط",IF(Y207&gt;=50,"ل","ر")))))</f>
        <v>0</v>
      </c>
      <c r="AA207" s="8">
        <f>IF(AND(E207&gt;=50, G207&gt;=50, I207&gt;=50, K207&gt;=50, M207&gt;=50, O207&gt;=50, Q207&gt;=50, S207&gt;=50, U207&gt;=50, W207&gt;=50, Y207&gt;=50), "ناجح", "راسب")</f>
        <v>0</v>
      </c>
      <c r="AB207" s="8">
        <f>(E207*7 + G207*2 + I207*6 + K207*7 + M207*4 + O207*2 + Q207*4 + S207*4 + U207*2 + W207*0) / (7 + 2 + 6 + 7 + 4 + 2 + 4 + 4 + 2 + 0)</f>
        <v>0</v>
      </c>
      <c r="AC207" s="8">
        <f>IF(AB207&gt;=90,"امتياز",IF(AB207&gt;=80,"جيد جدا",IF(AB207&gt;=70,"جيد",IF(AB207&gt;=60,"متوسط",IF(AB207&gt;=50,"مقبول","راسب")))))</f>
        <v>0</v>
      </c>
      <c r="AD207" s="9"/>
      <c r="AE207" s="9"/>
      <c r="AF207" s="9"/>
    </row>
    <row r="208" spans="2:32">
      <c r="B208" s="9"/>
      <c r="C208" s="9"/>
      <c r="D208" s="9"/>
      <c r="AA208" s="9"/>
      <c r="AB208" s="9"/>
      <c r="AC208" s="9"/>
      <c r="AD208" s="9"/>
      <c r="AE208" s="9"/>
      <c r="AF208" s="9"/>
    </row>
    <row r="209" spans="2:32">
      <c r="B209" s="9"/>
      <c r="C209" s="9"/>
      <c r="D209" s="9"/>
      <c r="AA209" s="9"/>
      <c r="AB209" s="9"/>
      <c r="AC209" s="9"/>
      <c r="AD209" s="9"/>
      <c r="AE209" s="9"/>
      <c r="AF209" s="9"/>
    </row>
    <row r="210" spans="2:32">
      <c r="B210" s="7">
        <v>42</v>
      </c>
      <c r="C210" s="7" t="s">
        <v>91</v>
      </c>
      <c r="D210" t="s">
        <v>54</v>
      </c>
      <c r="F210">
        <f>IF(E210&gt;=90,"م",IF(E210&gt;=80,"جـ جـ",IF(E210&gt;=70,"جـ",IF(E210&gt;=60,"ط",IF(E210&gt;=50,"ل","ر")))))</f>
        <v>0</v>
      </c>
      <c r="H210">
        <f>IF(G210&gt;=90,"م",IF(G210&gt;=80,"جـ جـ",IF(G210&gt;=70,"جـ",IF(G210&gt;=60,"ط",IF(G210&gt;=50,"ل","ر")))))</f>
        <v>0</v>
      </c>
      <c r="J210">
        <f>IF(I210&gt;=90,"م",IF(I210&gt;=80,"جـ جـ",IF(I210&gt;=70,"جـ",IF(I210&gt;=60,"ط",IF(I210&gt;=50,"ل","ر")))))</f>
        <v>0</v>
      </c>
      <c r="L210">
        <f>IF(K210&gt;=90,"م",IF(K210&gt;=80,"جـ جـ",IF(K210&gt;=70,"جـ",IF(K210&gt;=60,"ط",IF(K210&gt;=50,"ل","ر")))))</f>
        <v>0</v>
      </c>
      <c r="N210">
        <f>IF(M210&gt;=90,"م",IF(M210&gt;=80,"جـ جـ",IF(M210&gt;=70,"جـ",IF(M210&gt;=60,"ط",IF(M210&gt;=50,"ل","ر")))))</f>
        <v>0</v>
      </c>
      <c r="P210">
        <f>IF(O210&gt;=90,"م",IF(O210&gt;=80,"جـ جـ",IF(O210&gt;=70,"جـ",IF(O210&gt;=60,"ط",IF(O210&gt;=50,"ل","ر")))))</f>
        <v>0</v>
      </c>
      <c r="R210">
        <f>IF(Q210&gt;=90,"م",IF(Q210&gt;=80,"جـ جـ",IF(Q210&gt;=70,"جـ",IF(Q210&gt;=60,"ط",IF(Q210&gt;=50,"ل","ر")))))</f>
        <v>0</v>
      </c>
      <c r="T210">
        <f>IF(S210&gt;=90,"م",IF(S210&gt;=80,"جـ جـ",IF(S210&gt;=70,"جـ",IF(S210&gt;=60,"ط",IF(S210&gt;=50,"ل","ر")))))</f>
        <v>0</v>
      </c>
      <c r="V210">
        <f>IF(U210&gt;=90,"م",IF(U210&gt;=80,"جـ جـ",IF(U210&gt;=70,"جـ",IF(U210&gt;=60,"ط",IF(U210&gt;=50,"ل","ر")))))</f>
        <v>0</v>
      </c>
      <c r="X210">
        <f>IF(W210&gt;=90,"م",IF(W210&gt;=80,"جـ جـ",IF(W210&gt;=70,"جـ",IF(W210&gt;=60,"ط",IF(W210&gt;=50,"ل","ر")))))</f>
        <v>0</v>
      </c>
      <c r="Z210">
        <f>IF(Y210&gt;=90,"م",IF(Y210&gt;=80,"جـ جـ",IF(Y210&gt;=70,"جـ",IF(Y210&gt;=60,"ط",IF(Y210&gt;=50,"ل","ر")))))</f>
        <v>0</v>
      </c>
      <c r="AA210" s="8">
        <f>IF(AND(E210&gt;=50, G210&gt;=50, I210&gt;=50, K210&gt;=50, M210&gt;=50, O210&gt;=50, Q210&gt;=50, S210&gt;=50, U210&gt;=50, W210&gt;=50, Y210&gt;=50), "ناجح", "راسب")</f>
        <v>0</v>
      </c>
      <c r="AB210" s="8">
        <f>(E210*7 + G210*2 + I210*6 + K210*7 + M210*4 + O210*2 + Q210*4 + S210*4 + U210*2 + W210*0) / (7 + 2 + 6 + 7 + 4 + 2 + 4 + 4 + 2 + 0)</f>
        <v>0</v>
      </c>
      <c r="AC210" s="8">
        <f>IF(AB210&gt;=90,"امتياز",IF(AB210&gt;=80,"جيد جدا",IF(AB210&gt;=70,"جيد",IF(AB210&gt;=60,"متوسط",IF(AB210&gt;=50,"مقبول","راسب")))))</f>
        <v>0</v>
      </c>
      <c r="AD210" s="9"/>
      <c r="AE210" s="9"/>
      <c r="AF210" s="9"/>
    </row>
    <row r="211" spans="2:32">
      <c r="B211" s="9"/>
      <c r="C211" s="9"/>
      <c r="D211" s="9"/>
      <c r="AA211" s="9"/>
      <c r="AB211" s="9"/>
      <c r="AC211" s="9"/>
      <c r="AD211" s="9"/>
      <c r="AE211" s="9"/>
      <c r="AF211" s="9"/>
    </row>
    <row r="212" spans="2:32">
      <c r="B212" s="9"/>
      <c r="C212" s="9"/>
      <c r="D212" s="9"/>
      <c r="AA212" s="9"/>
      <c r="AB212" s="9"/>
      <c r="AC212" s="9"/>
      <c r="AD212" s="9"/>
      <c r="AE212" s="9"/>
      <c r="AF212" s="9"/>
    </row>
    <row r="213" spans="2:32">
      <c r="B213" s="7">
        <v>43</v>
      </c>
      <c r="C213" s="7" t="s">
        <v>92</v>
      </c>
      <c r="D213" t="s">
        <v>54</v>
      </c>
      <c r="F213">
        <f>IF(E213&gt;=90,"م",IF(E213&gt;=80,"جـ جـ",IF(E213&gt;=70,"جـ",IF(E213&gt;=60,"ط",IF(E213&gt;=50,"ل","ر")))))</f>
        <v>0</v>
      </c>
      <c r="H213">
        <f>IF(G213&gt;=90,"م",IF(G213&gt;=80,"جـ جـ",IF(G213&gt;=70,"جـ",IF(G213&gt;=60,"ط",IF(G213&gt;=50,"ل","ر")))))</f>
        <v>0</v>
      </c>
      <c r="J213">
        <f>IF(I213&gt;=90,"م",IF(I213&gt;=80,"جـ جـ",IF(I213&gt;=70,"جـ",IF(I213&gt;=60,"ط",IF(I213&gt;=50,"ل","ر")))))</f>
        <v>0</v>
      </c>
      <c r="L213">
        <f>IF(K213&gt;=90,"م",IF(K213&gt;=80,"جـ جـ",IF(K213&gt;=70,"جـ",IF(K213&gt;=60,"ط",IF(K213&gt;=50,"ل","ر")))))</f>
        <v>0</v>
      </c>
      <c r="N213">
        <f>IF(M213&gt;=90,"م",IF(M213&gt;=80,"جـ جـ",IF(M213&gt;=70,"جـ",IF(M213&gt;=60,"ط",IF(M213&gt;=50,"ل","ر")))))</f>
        <v>0</v>
      </c>
      <c r="P213">
        <f>IF(O213&gt;=90,"م",IF(O213&gt;=80,"جـ جـ",IF(O213&gt;=70,"جـ",IF(O213&gt;=60,"ط",IF(O213&gt;=50,"ل","ر")))))</f>
        <v>0</v>
      </c>
      <c r="R213">
        <f>IF(Q213&gt;=90,"م",IF(Q213&gt;=80,"جـ جـ",IF(Q213&gt;=70,"جـ",IF(Q213&gt;=60,"ط",IF(Q213&gt;=50,"ل","ر")))))</f>
        <v>0</v>
      </c>
      <c r="T213">
        <f>IF(S213&gt;=90,"م",IF(S213&gt;=80,"جـ جـ",IF(S213&gt;=70,"جـ",IF(S213&gt;=60,"ط",IF(S213&gt;=50,"ل","ر")))))</f>
        <v>0</v>
      </c>
      <c r="V213">
        <f>IF(U213&gt;=90,"م",IF(U213&gt;=80,"جـ جـ",IF(U213&gt;=70,"جـ",IF(U213&gt;=60,"ط",IF(U213&gt;=50,"ل","ر")))))</f>
        <v>0</v>
      </c>
      <c r="X213">
        <f>IF(W213&gt;=90,"م",IF(W213&gt;=80,"جـ جـ",IF(W213&gt;=70,"جـ",IF(W213&gt;=60,"ط",IF(W213&gt;=50,"ل","ر")))))</f>
        <v>0</v>
      </c>
      <c r="Z213">
        <f>IF(Y213&gt;=90,"م",IF(Y213&gt;=80,"جـ جـ",IF(Y213&gt;=70,"جـ",IF(Y213&gt;=60,"ط",IF(Y213&gt;=50,"ل","ر")))))</f>
        <v>0</v>
      </c>
      <c r="AA213" s="8">
        <f>IF(AND(E213&gt;=50, G213&gt;=50, I213&gt;=50, K213&gt;=50, M213&gt;=50, O213&gt;=50, Q213&gt;=50, S213&gt;=50, U213&gt;=50, W213&gt;=50, Y213&gt;=50), "ناجح", "راسب")</f>
        <v>0</v>
      </c>
      <c r="AB213" s="8">
        <f>(E213*7 + G213*2 + I213*6 + K213*7 + M213*4 + O213*2 + Q213*4 + S213*4 + U213*2 + W213*0) / (7 + 2 + 6 + 7 + 4 + 2 + 4 + 4 + 2 + 0)</f>
        <v>0</v>
      </c>
      <c r="AC213" s="8">
        <f>IF(AB213&gt;=90,"امتياز",IF(AB213&gt;=80,"جيد جدا",IF(AB213&gt;=70,"جيد",IF(AB213&gt;=60,"متوسط",IF(AB213&gt;=50,"مقبول","راسب")))))</f>
        <v>0</v>
      </c>
      <c r="AD213" s="9"/>
      <c r="AE213" s="9"/>
      <c r="AF213" s="9"/>
    </row>
    <row r="214" spans="2:32">
      <c r="B214" s="9"/>
      <c r="C214" s="9"/>
      <c r="D214" s="9"/>
      <c r="AA214" s="9"/>
      <c r="AB214" s="9"/>
      <c r="AC214" s="9"/>
      <c r="AD214" s="9"/>
      <c r="AE214" s="9"/>
      <c r="AF214" s="9"/>
    </row>
    <row r="215" spans="2:32">
      <c r="B215" s="9"/>
      <c r="C215" s="9"/>
      <c r="D215" s="9"/>
      <c r="AA215" s="9"/>
      <c r="AB215" s="9"/>
      <c r="AC215" s="9"/>
      <c r="AD215" s="9"/>
      <c r="AE215" s="9"/>
      <c r="AF215" s="9"/>
    </row>
    <row r="216" spans="2:32">
      <c r="B216" s="7">
        <v>44</v>
      </c>
      <c r="C216" s="7" t="s">
        <v>93</v>
      </c>
      <c r="D216" t="s">
        <v>54</v>
      </c>
      <c r="F216">
        <f>IF(E216&gt;=90,"م",IF(E216&gt;=80,"جـ جـ",IF(E216&gt;=70,"جـ",IF(E216&gt;=60,"ط",IF(E216&gt;=50,"ل","ر")))))</f>
        <v>0</v>
      </c>
      <c r="H216">
        <f>IF(G216&gt;=90,"م",IF(G216&gt;=80,"جـ جـ",IF(G216&gt;=70,"جـ",IF(G216&gt;=60,"ط",IF(G216&gt;=50,"ل","ر")))))</f>
        <v>0</v>
      </c>
      <c r="J216">
        <f>IF(I216&gt;=90,"م",IF(I216&gt;=80,"جـ جـ",IF(I216&gt;=70,"جـ",IF(I216&gt;=60,"ط",IF(I216&gt;=50,"ل","ر")))))</f>
        <v>0</v>
      </c>
      <c r="L216">
        <f>IF(K216&gt;=90,"م",IF(K216&gt;=80,"جـ جـ",IF(K216&gt;=70,"جـ",IF(K216&gt;=60,"ط",IF(K216&gt;=50,"ل","ر")))))</f>
        <v>0</v>
      </c>
      <c r="N216">
        <f>IF(M216&gt;=90,"م",IF(M216&gt;=80,"جـ جـ",IF(M216&gt;=70,"جـ",IF(M216&gt;=60,"ط",IF(M216&gt;=50,"ل","ر")))))</f>
        <v>0</v>
      </c>
      <c r="P216">
        <f>IF(O216&gt;=90,"م",IF(O216&gt;=80,"جـ جـ",IF(O216&gt;=70,"جـ",IF(O216&gt;=60,"ط",IF(O216&gt;=50,"ل","ر")))))</f>
        <v>0</v>
      </c>
      <c r="R216">
        <f>IF(Q216&gt;=90,"م",IF(Q216&gt;=80,"جـ جـ",IF(Q216&gt;=70,"جـ",IF(Q216&gt;=60,"ط",IF(Q216&gt;=50,"ل","ر")))))</f>
        <v>0</v>
      </c>
      <c r="T216">
        <f>IF(S216&gt;=90,"م",IF(S216&gt;=80,"جـ جـ",IF(S216&gt;=70,"جـ",IF(S216&gt;=60,"ط",IF(S216&gt;=50,"ل","ر")))))</f>
        <v>0</v>
      </c>
      <c r="V216">
        <f>IF(U216&gt;=90,"م",IF(U216&gt;=80,"جـ جـ",IF(U216&gt;=70,"جـ",IF(U216&gt;=60,"ط",IF(U216&gt;=50,"ل","ر")))))</f>
        <v>0</v>
      </c>
      <c r="X216">
        <f>IF(W216&gt;=90,"م",IF(W216&gt;=80,"جـ جـ",IF(W216&gt;=70,"جـ",IF(W216&gt;=60,"ط",IF(W216&gt;=50,"ل","ر")))))</f>
        <v>0</v>
      </c>
      <c r="Z216">
        <f>IF(Y216&gt;=90,"م",IF(Y216&gt;=80,"جـ جـ",IF(Y216&gt;=70,"جـ",IF(Y216&gt;=60,"ط",IF(Y216&gt;=50,"ل","ر")))))</f>
        <v>0</v>
      </c>
      <c r="AA216" s="8">
        <f>IF(AND(E216&gt;=50, G216&gt;=50, I216&gt;=50, K216&gt;=50, M216&gt;=50, O216&gt;=50, Q216&gt;=50, S216&gt;=50, U216&gt;=50, W216&gt;=50, Y216&gt;=50), "ناجح", "راسب")</f>
        <v>0</v>
      </c>
      <c r="AB216" s="8">
        <f>(E216*7 + G216*2 + I216*6 + K216*7 + M216*4 + O216*2 + Q216*4 + S216*4 + U216*2 + W216*0) / (7 + 2 + 6 + 7 + 4 + 2 + 4 + 4 + 2 + 0)</f>
        <v>0</v>
      </c>
      <c r="AC216" s="8">
        <f>IF(AB216&gt;=90,"امتياز",IF(AB216&gt;=80,"جيد جدا",IF(AB216&gt;=70,"جيد",IF(AB216&gt;=60,"متوسط",IF(AB216&gt;=50,"مقبول","راسب")))))</f>
        <v>0</v>
      </c>
      <c r="AD216" s="9"/>
      <c r="AE216" s="9"/>
      <c r="AF216" s="9"/>
    </row>
    <row r="217" spans="2:32">
      <c r="B217" s="9"/>
      <c r="C217" s="9"/>
      <c r="D217" s="9"/>
      <c r="AA217" s="9"/>
      <c r="AB217" s="9"/>
      <c r="AC217" s="9"/>
      <c r="AD217" s="9"/>
      <c r="AE217" s="9"/>
      <c r="AF217" s="9"/>
    </row>
    <row r="218" spans="2:32">
      <c r="B218" s="9"/>
      <c r="C218" s="9"/>
      <c r="D218" s="9"/>
      <c r="AA218" s="9"/>
      <c r="AB218" s="9"/>
      <c r="AC218" s="9"/>
      <c r="AD218" s="9"/>
      <c r="AE218" s="9"/>
      <c r="AF218" s="9"/>
    </row>
    <row r="219" spans="2:32">
      <c r="B219" s="7">
        <v>45</v>
      </c>
      <c r="C219" s="7" t="s">
        <v>94</v>
      </c>
      <c r="D219" t="s">
        <v>54</v>
      </c>
      <c r="F219">
        <f>IF(E219&gt;=90,"م",IF(E219&gt;=80,"جـ جـ",IF(E219&gt;=70,"جـ",IF(E219&gt;=60,"ط",IF(E219&gt;=50,"ل","ر")))))</f>
        <v>0</v>
      </c>
      <c r="H219">
        <f>IF(G219&gt;=90,"م",IF(G219&gt;=80,"جـ جـ",IF(G219&gt;=70,"جـ",IF(G219&gt;=60,"ط",IF(G219&gt;=50,"ل","ر")))))</f>
        <v>0</v>
      </c>
      <c r="J219">
        <f>IF(I219&gt;=90,"م",IF(I219&gt;=80,"جـ جـ",IF(I219&gt;=70,"جـ",IF(I219&gt;=60,"ط",IF(I219&gt;=50,"ل","ر")))))</f>
        <v>0</v>
      </c>
      <c r="L219">
        <f>IF(K219&gt;=90,"م",IF(K219&gt;=80,"جـ جـ",IF(K219&gt;=70,"جـ",IF(K219&gt;=60,"ط",IF(K219&gt;=50,"ل","ر")))))</f>
        <v>0</v>
      </c>
      <c r="N219">
        <f>IF(M219&gt;=90,"م",IF(M219&gt;=80,"جـ جـ",IF(M219&gt;=70,"جـ",IF(M219&gt;=60,"ط",IF(M219&gt;=50,"ل","ر")))))</f>
        <v>0</v>
      </c>
      <c r="P219">
        <f>IF(O219&gt;=90,"م",IF(O219&gt;=80,"جـ جـ",IF(O219&gt;=70,"جـ",IF(O219&gt;=60,"ط",IF(O219&gt;=50,"ل","ر")))))</f>
        <v>0</v>
      </c>
      <c r="R219">
        <f>IF(Q219&gt;=90,"م",IF(Q219&gt;=80,"جـ جـ",IF(Q219&gt;=70,"جـ",IF(Q219&gt;=60,"ط",IF(Q219&gt;=50,"ل","ر")))))</f>
        <v>0</v>
      </c>
      <c r="T219">
        <f>IF(S219&gt;=90,"م",IF(S219&gt;=80,"جـ جـ",IF(S219&gt;=70,"جـ",IF(S219&gt;=60,"ط",IF(S219&gt;=50,"ل","ر")))))</f>
        <v>0</v>
      </c>
      <c r="V219">
        <f>IF(U219&gt;=90,"م",IF(U219&gt;=80,"جـ جـ",IF(U219&gt;=70,"جـ",IF(U219&gt;=60,"ط",IF(U219&gt;=50,"ل","ر")))))</f>
        <v>0</v>
      </c>
      <c r="X219">
        <f>IF(W219&gt;=90,"م",IF(W219&gt;=80,"جـ جـ",IF(W219&gt;=70,"جـ",IF(W219&gt;=60,"ط",IF(W219&gt;=50,"ل","ر")))))</f>
        <v>0</v>
      </c>
      <c r="Z219">
        <f>IF(Y219&gt;=90,"م",IF(Y219&gt;=80,"جـ جـ",IF(Y219&gt;=70,"جـ",IF(Y219&gt;=60,"ط",IF(Y219&gt;=50,"ل","ر")))))</f>
        <v>0</v>
      </c>
      <c r="AA219" s="8">
        <f>IF(AND(E219&gt;=50, G219&gt;=50, I219&gt;=50, K219&gt;=50, M219&gt;=50, O219&gt;=50, Q219&gt;=50, S219&gt;=50, U219&gt;=50, W219&gt;=50, Y219&gt;=50), "ناجح", "راسب")</f>
        <v>0</v>
      </c>
      <c r="AB219" s="8">
        <f>(E219*7 + G219*2 + I219*6 + K219*7 + M219*4 + O219*2 + Q219*4 + S219*4 + U219*2 + W219*0) / (7 + 2 + 6 + 7 + 4 + 2 + 4 + 4 + 2 + 0)</f>
        <v>0</v>
      </c>
      <c r="AC219" s="8">
        <f>IF(AB219&gt;=90,"امتياز",IF(AB219&gt;=80,"جيد جدا",IF(AB219&gt;=70,"جيد",IF(AB219&gt;=60,"متوسط",IF(AB219&gt;=50,"مقبول","راسب")))))</f>
        <v>0</v>
      </c>
      <c r="AD219" s="9"/>
      <c r="AE219" s="9"/>
      <c r="AF219" s="9"/>
    </row>
    <row r="220" spans="2:32">
      <c r="B220" s="9"/>
      <c r="C220" s="9"/>
      <c r="D220" s="9"/>
      <c r="AA220" s="9"/>
      <c r="AB220" s="9"/>
      <c r="AC220" s="9"/>
      <c r="AD220" s="9"/>
      <c r="AE220" s="9"/>
      <c r="AF220" s="9"/>
    </row>
    <row r="221" spans="2:32">
      <c r="B221" s="9"/>
      <c r="C221" s="9"/>
      <c r="D221" s="9"/>
      <c r="AA221" s="9"/>
      <c r="AB221" s="9"/>
      <c r="AC221" s="9"/>
      <c r="AD221" s="9"/>
      <c r="AE221" s="9"/>
      <c r="AF221" s="9"/>
    </row>
    <row r="222" spans="2:32">
      <c r="B222" s="7">
        <v>46</v>
      </c>
      <c r="C222" s="7" t="s">
        <v>90</v>
      </c>
      <c r="D222" t="s">
        <v>54</v>
      </c>
      <c r="F222">
        <f>IF(E222&gt;=90,"م",IF(E222&gt;=80,"جـ جـ",IF(E222&gt;=70,"جـ",IF(E222&gt;=60,"ط",IF(E222&gt;=50,"ل","ر")))))</f>
        <v>0</v>
      </c>
      <c r="H222">
        <f>IF(G222&gt;=90,"م",IF(G222&gt;=80,"جـ جـ",IF(G222&gt;=70,"جـ",IF(G222&gt;=60,"ط",IF(G222&gt;=50,"ل","ر")))))</f>
        <v>0</v>
      </c>
      <c r="J222">
        <f>IF(I222&gt;=90,"م",IF(I222&gt;=80,"جـ جـ",IF(I222&gt;=70,"جـ",IF(I222&gt;=60,"ط",IF(I222&gt;=50,"ل","ر")))))</f>
        <v>0</v>
      </c>
      <c r="L222">
        <f>IF(K222&gt;=90,"م",IF(K222&gt;=80,"جـ جـ",IF(K222&gt;=70,"جـ",IF(K222&gt;=60,"ط",IF(K222&gt;=50,"ل","ر")))))</f>
        <v>0</v>
      </c>
      <c r="N222">
        <f>IF(M222&gt;=90,"م",IF(M222&gt;=80,"جـ جـ",IF(M222&gt;=70,"جـ",IF(M222&gt;=60,"ط",IF(M222&gt;=50,"ل","ر")))))</f>
        <v>0</v>
      </c>
      <c r="P222">
        <f>IF(O222&gt;=90,"م",IF(O222&gt;=80,"جـ جـ",IF(O222&gt;=70,"جـ",IF(O222&gt;=60,"ط",IF(O222&gt;=50,"ل","ر")))))</f>
        <v>0</v>
      </c>
      <c r="R222">
        <f>IF(Q222&gt;=90,"م",IF(Q222&gt;=80,"جـ جـ",IF(Q222&gt;=70,"جـ",IF(Q222&gt;=60,"ط",IF(Q222&gt;=50,"ل","ر")))))</f>
        <v>0</v>
      </c>
      <c r="T222">
        <f>IF(S222&gt;=90,"م",IF(S222&gt;=80,"جـ جـ",IF(S222&gt;=70,"جـ",IF(S222&gt;=60,"ط",IF(S222&gt;=50,"ل","ر")))))</f>
        <v>0</v>
      </c>
      <c r="V222">
        <f>IF(U222&gt;=90,"م",IF(U222&gt;=80,"جـ جـ",IF(U222&gt;=70,"جـ",IF(U222&gt;=60,"ط",IF(U222&gt;=50,"ل","ر")))))</f>
        <v>0</v>
      </c>
      <c r="X222">
        <f>IF(W222&gt;=90,"م",IF(W222&gt;=80,"جـ جـ",IF(W222&gt;=70,"جـ",IF(W222&gt;=60,"ط",IF(W222&gt;=50,"ل","ر")))))</f>
        <v>0</v>
      </c>
      <c r="Z222">
        <f>IF(Y222&gt;=90,"م",IF(Y222&gt;=80,"جـ جـ",IF(Y222&gt;=70,"جـ",IF(Y222&gt;=60,"ط",IF(Y222&gt;=50,"ل","ر")))))</f>
        <v>0</v>
      </c>
      <c r="AA222" s="8">
        <f>IF(AND(E222&gt;=50, G222&gt;=50, I222&gt;=50, K222&gt;=50, M222&gt;=50, O222&gt;=50, Q222&gt;=50, S222&gt;=50, U222&gt;=50, W222&gt;=50, Y222&gt;=50), "ناجح", "راسب")</f>
        <v>0</v>
      </c>
      <c r="AB222" s="8">
        <f>(E222*7 + G222*2 + I222*6 + K222*7 + M222*4 + O222*2 + Q222*4 + S222*4 + U222*2 + W222*0) / (7 + 2 + 6 + 7 + 4 + 2 + 4 + 4 + 2 + 0)</f>
        <v>0</v>
      </c>
      <c r="AC222" s="8">
        <f>IF(AB222&gt;=90,"امتياز",IF(AB222&gt;=80,"جيد جدا",IF(AB222&gt;=70,"جيد",IF(AB222&gt;=60,"متوسط",IF(AB222&gt;=50,"مقبول","راسب")))))</f>
        <v>0</v>
      </c>
      <c r="AD222" s="9"/>
      <c r="AE222" s="9"/>
      <c r="AF222" s="9"/>
    </row>
    <row r="223" spans="2:32">
      <c r="B223" s="9"/>
      <c r="C223" s="9"/>
      <c r="D223" s="9"/>
      <c r="AA223" s="9"/>
      <c r="AB223" s="9"/>
      <c r="AC223" s="9"/>
      <c r="AD223" s="9"/>
      <c r="AE223" s="9"/>
      <c r="AF223" s="9"/>
    </row>
    <row r="224" spans="2:32">
      <c r="B224" s="9"/>
      <c r="C224" s="9"/>
      <c r="D224" s="9"/>
      <c r="AA224" s="9"/>
      <c r="AB224" s="9"/>
      <c r="AC224" s="9"/>
      <c r="AD224" s="9"/>
      <c r="AE224" s="9"/>
      <c r="AF224" s="9"/>
    </row>
    <row r="225" spans="2:32">
      <c r="B225" s="7">
        <v>47</v>
      </c>
      <c r="C225" s="7" t="s">
        <v>91</v>
      </c>
      <c r="D225" t="s">
        <v>54</v>
      </c>
      <c r="F225">
        <f>IF(E225&gt;=90,"م",IF(E225&gt;=80,"جـ جـ",IF(E225&gt;=70,"جـ",IF(E225&gt;=60,"ط",IF(E225&gt;=50,"ل","ر")))))</f>
        <v>0</v>
      </c>
      <c r="H225">
        <f>IF(G225&gt;=90,"م",IF(G225&gt;=80,"جـ جـ",IF(G225&gt;=70,"جـ",IF(G225&gt;=60,"ط",IF(G225&gt;=50,"ل","ر")))))</f>
        <v>0</v>
      </c>
      <c r="J225">
        <f>IF(I225&gt;=90,"م",IF(I225&gt;=80,"جـ جـ",IF(I225&gt;=70,"جـ",IF(I225&gt;=60,"ط",IF(I225&gt;=50,"ل","ر")))))</f>
        <v>0</v>
      </c>
      <c r="L225">
        <f>IF(K225&gt;=90,"م",IF(K225&gt;=80,"جـ جـ",IF(K225&gt;=70,"جـ",IF(K225&gt;=60,"ط",IF(K225&gt;=50,"ل","ر")))))</f>
        <v>0</v>
      </c>
      <c r="N225">
        <f>IF(M225&gt;=90,"م",IF(M225&gt;=80,"جـ جـ",IF(M225&gt;=70,"جـ",IF(M225&gt;=60,"ط",IF(M225&gt;=50,"ل","ر")))))</f>
        <v>0</v>
      </c>
      <c r="P225">
        <f>IF(O225&gt;=90,"م",IF(O225&gt;=80,"جـ جـ",IF(O225&gt;=70,"جـ",IF(O225&gt;=60,"ط",IF(O225&gt;=50,"ل","ر")))))</f>
        <v>0</v>
      </c>
      <c r="R225">
        <f>IF(Q225&gt;=90,"م",IF(Q225&gt;=80,"جـ جـ",IF(Q225&gt;=70,"جـ",IF(Q225&gt;=60,"ط",IF(Q225&gt;=50,"ل","ر")))))</f>
        <v>0</v>
      </c>
      <c r="T225">
        <f>IF(S225&gt;=90,"م",IF(S225&gt;=80,"جـ جـ",IF(S225&gt;=70,"جـ",IF(S225&gt;=60,"ط",IF(S225&gt;=50,"ل","ر")))))</f>
        <v>0</v>
      </c>
      <c r="V225">
        <f>IF(U225&gt;=90,"م",IF(U225&gt;=80,"جـ جـ",IF(U225&gt;=70,"جـ",IF(U225&gt;=60,"ط",IF(U225&gt;=50,"ل","ر")))))</f>
        <v>0</v>
      </c>
      <c r="X225">
        <f>IF(W225&gt;=90,"م",IF(W225&gt;=80,"جـ جـ",IF(W225&gt;=70,"جـ",IF(W225&gt;=60,"ط",IF(W225&gt;=50,"ل","ر")))))</f>
        <v>0</v>
      </c>
      <c r="Z225">
        <f>IF(Y225&gt;=90,"م",IF(Y225&gt;=80,"جـ جـ",IF(Y225&gt;=70,"جـ",IF(Y225&gt;=60,"ط",IF(Y225&gt;=50,"ل","ر")))))</f>
        <v>0</v>
      </c>
      <c r="AA225" s="8">
        <f>IF(AND(E225&gt;=50, G225&gt;=50, I225&gt;=50, K225&gt;=50, M225&gt;=50, O225&gt;=50, Q225&gt;=50, S225&gt;=50, U225&gt;=50, W225&gt;=50, Y225&gt;=50), "ناجح", "راسب")</f>
        <v>0</v>
      </c>
      <c r="AB225" s="8">
        <f>(E225*7 + G225*2 + I225*6 + K225*7 + M225*4 + O225*2 + Q225*4 + S225*4 + U225*2 + W225*0) / (7 + 2 + 6 + 7 + 4 + 2 + 4 + 4 + 2 + 0)</f>
        <v>0</v>
      </c>
      <c r="AC225" s="8">
        <f>IF(AB225&gt;=90,"امتياز",IF(AB225&gt;=80,"جيد جدا",IF(AB225&gt;=70,"جيد",IF(AB225&gt;=60,"متوسط",IF(AB225&gt;=50,"مقبول","راسب")))))</f>
        <v>0</v>
      </c>
      <c r="AD225" s="9"/>
      <c r="AE225" s="9"/>
      <c r="AF225" s="9"/>
    </row>
    <row r="226" spans="2:32">
      <c r="B226" s="9"/>
      <c r="C226" s="9"/>
      <c r="D226" s="9"/>
      <c r="AA226" s="9"/>
      <c r="AB226" s="9"/>
      <c r="AC226" s="9"/>
      <c r="AD226" s="9"/>
      <c r="AE226" s="9"/>
      <c r="AF226" s="9"/>
    </row>
    <row r="227" spans="2:32">
      <c r="B227" s="9"/>
      <c r="C227" s="9"/>
      <c r="D227" s="9"/>
      <c r="AA227" s="9"/>
      <c r="AB227" s="9"/>
      <c r="AC227" s="9"/>
      <c r="AD227" s="9"/>
      <c r="AE227" s="9"/>
      <c r="AF227" s="9"/>
    </row>
    <row r="228" spans="2:32">
      <c r="B228" s="7">
        <v>48</v>
      </c>
      <c r="C228" s="7" t="s">
        <v>92</v>
      </c>
      <c r="D228" t="s">
        <v>54</v>
      </c>
      <c r="F228">
        <f>IF(E228&gt;=90,"م",IF(E228&gt;=80,"جـ جـ",IF(E228&gt;=70,"جـ",IF(E228&gt;=60,"ط",IF(E228&gt;=50,"ل","ر")))))</f>
        <v>0</v>
      </c>
      <c r="H228">
        <f>IF(G228&gt;=90,"م",IF(G228&gt;=80,"جـ جـ",IF(G228&gt;=70,"جـ",IF(G228&gt;=60,"ط",IF(G228&gt;=50,"ل","ر")))))</f>
        <v>0</v>
      </c>
      <c r="J228">
        <f>IF(I228&gt;=90,"م",IF(I228&gt;=80,"جـ جـ",IF(I228&gt;=70,"جـ",IF(I228&gt;=60,"ط",IF(I228&gt;=50,"ل","ر")))))</f>
        <v>0</v>
      </c>
      <c r="L228">
        <f>IF(K228&gt;=90,"م",IF(K228&gt;=80,"جـ جـ",IF(K228&gt;=70,"جـ",IF(K228&gt;=60,"ط",IF(K228&gt;=50,"ل","ر")))))</f>
        <v>0</v>
      </c>
      <c r="N228">
        <f>IF(M228&gt;=90,"م",IF(M228&gt;=80,"جـ جـ",IF(M228&gt;=70,"جـ",IF(M228&gt;=60,"ط",IF(M228&gt;=50,"ل","ر")))))</f>
        <v>0</v>
      </c>
      <c r="P228">
        <f>IF(O228&gt;=90,"م",IF(O228&gt;=80,"جـ جـ",IF(O228&gt;=70,"جـ",IF(O228&gt;=60,"ط",IF(O228&gt;=50,"ل","ر")))))</f>
        <v>0</v>
      </c>
      <c r="R228">
        <f>IF(Q228&gt;=90,"م",IF(Q228&gt;=80,"جـ جـ",IF(Q228&gt;=70,"جـ",IF(Q228&gt;=60,"ط",IF(Q228&gt;=50,"ل","ر")))))</f>
        <v>0</v>
      </c>
      <c r="T228">
        <f>IF(S228&gt;=90,"م",IF(S228&gt;=80,"جـ جـ",IF(S228&gt;=70,"جـ",IF(S228&gt;=60,"ط",IF(S228&gt;=50,"ل","ر")))))</f>
        <v>0</v>
      </c>
      <c r="V228">
        <f>IF(U228&gt;=90,"م",IF(U228&gt;=80,"جـ جـ",IF(U228&gt;=70,"جـ",IF(U228&gt;=60,"ط",IF(U228&gt;=50,"ل","ر")))))</f>
        <v>0</v>
      </c>
      <c r="X228">
        <f>IF(W228&gt;=90,"م",IF(W228&gt;=80,"جـ جـ",IF(W228&gt;=70,"جـ",IF(W228&gt;=60,"ط",IF(W228&gt;=50,"ل","ر")))))</f>
        <v>0</v>
      </c>
      <c r="Z228">
        <f>IF(Y228&gt;=90,"م",IF(Y228&gt;=80,"جـ جـ",IF(Y228&gt;=70,"جـ",IF(Y228&gt;=60,"ط",IF(Y228&gt;=50,"ل","ر")))))</f>
        <v>0</v>
      </c>
      <c r="AA228" s="8">
        <f>IF(AND(E228&gt;=50, G228&gt;=50, I228&gt;=50, K228&gt;=50, M228&gt;=50, O228&gt;=50, Q228&gt;=50, S228&gt;=50, U228&gt;=50, W228&gt;=50, Y228&gt;=50), "ناجح", "راسب")</f>
        <v>0</v>
      </c>
      <c r="AB228" s="8">
        <f>(E228*7 + G228*2 + I228*6 + K228*7 + M228*4 + O228*2 + Q228*4 + S228*4 + U228*2 + W228*0) / (7 + 2 + 6 + 7 + 4 + 2 + 4 + 4 + 2 + 0)</f>
        <v>0</v>
      </c>
      <c r="AC228" s="8">
        <f>IF(AB228&gt;=90,"امتياز",IF(AB228&gt;=80,"جيد جدا",IF(AB228&gt;=70,"جيد",IF(AB228&gt;=60,"متوسط",IF(AB228&gt;=50,"مقبول","راسب")))))</f>
        <v>0</v>
      </c>
      <c r="AD228" s="9"/>
      <c r="AE228" s="9"/>
      <c r="AF228" s="9"/>
    </row>
    <row r="229" spans="2:32">
      <c r="B229" s="9"/>
      <c r="C229" s="9"/>
      <c r="D229" s="9"/>
      <c r="AA229" s="9"/>
      <c r="AB229" s="9"/>
      <c r="AC229" s="9"/>
      <c r="AD229" s="9"/>
      <c r="AE229" s="9"/>
      <c r="AF229" s="9"/>
    </row>
    <row r="230" spans="2:32">
      <c r="B230" s="9"/>
      <c r="C230" s="9"/>
      <c r="D230" s="9"/>
      <c r="AA230" s="9"/>
      <c r="AB230" s="9"/>
      <c r="AC230" s="9"/>
      <c r="AD230" s="9"/>
      <c r="AE230" s="9"/>
      <c r="AF230" s="9"/>
    </row>
    <row r="231" spans="2:32">
      <c r="B231" s="7">
        <v>49</v>
      </c>
      <c r="C231" s="7" t="s">
        <v>93</v>
      </c>
      <c r="D231" t="s">
        <v>54</v>
      </c>
      <c r="F231">
        <f>IF(E231&gt;=90,"م",IF(E231&gt;=80,"جـ جـ",IF(E231&gt;=70,"جـ",IF(E231&gt;=60,"ط",IF(E231&gt;=50,"ل","ر")))))</f>
        <v>0</v>
      </c>
      <c r="H231">
        <f>IF(G231&gt;=90,"م",IF(G231&gt;=80,"جـ جـ",IF(G231&gt;=70,"جـ",IF(G231&gt;=60,"ط",IF(G231&gt;=50,"ل","ر")))))</f>
        <v>0</v>
      </c>
      <c r="J231">
        <f>IF(I231&gt;=90,"م",IF(I231&gt;=80,"جـ جـ",IF(I231&gt;=70,"جـ",IF(I231&gt;=60,"ط",IF(I231&gt;=50,"ل","ر")))))</f>
        <v>0</v>
      </c>
      <c r="L231">
        <f>IF(K231&gt;=90,"م",IF(K231&gt;=80,"جـ جـ",IF(K231&gt;=70,"جـ",IF(K231&gt;=60,"ط",IF(K231&gt;=50,"ل","ر")))))</f>
        <v>0</v>
      </c>
      <c r="N231">
        <f>IF(M231&gt;=90,"م",IF(M231&gt;=80,"جـ جـ",IF(M231&gt;=70,"جـ",IF(M231&gt;=60,"ط",IF(M231&gt;=50,"ل","ر")))))</f>
        <v>0</v>
      </c>
      <c r="P231">
        <f>IF(O231&gt;=90,"م",IF(O231&gt;=80,"جـ جـ",IF(O231&gt;=70,"جـ",IF(O231&gt;=60,"ط",IF(O231&gt;=50,"ل","ر")))))</f>
        <v>0</v>
      </c>
      <c r="R231">
        <f>IF(Q231&gt;=90,"م",IF(Q231&gt;=80,"جـ جـ",IF(Q231&gt;=70,"جـ",IF(Q231&gt;=60,"ط",IF(Q231&gt;=50,"ل","ر")))))</f>
        <v>0</v>
      </c>
      <c r="T231">
        <f>IF(S231&gt;=90,"م",IF(S231&gt;=80,"جـ جـ",IF(S231&gt;=70,"جـ",IF(S231&gt;=60,"ط",IF(S231&gt;=50,"ل","ر")))))</f>
        <v>0</v>
      </c>
      <c r="V231">
        <f>IF(U231&gt;=90,"م",IF(U231&gt;=80,"جـ جـ",IF(U231&gt;=70,"جـ",IF(U231&gt;=60,"ط",IF(U231&gt;=50,"ل","ر")))))</f>
        <v>0</v>
      </c>
      <c r="X231">
        <f>IF(W231&gt;=90,"م",IF(W231&gt;=80,"جـ جـ",IF(W231&gt;=70,"جـ",IF(W231&gt;=60,"ط",IF(W231&gt;=50,"ل","ر")))))</f>
        <v>0</v>
      </c>
      <c r="Z231">
        <f>IF(Y231&gt;=90,"م",IF(Y231&gt;=80,"جـ جـ",IF(Y231&gt;=70,"جـ",IF(Y231&gt;=60,"ط",IF(Y231&gt;=50,"ل","ر")))))</f>
        <v>0</v>
      </c>
      <c r="AA231" s="8">
        <f>IF(AND(E231&gt;=50, G231&gt;=50, I231&gt;=50, K231&gt;=50, M231&gt;=50, O231&gt;=50, Q231&gt;=50, S231&gt;=50, U231&gt;=50, W231&gt;=50, Y231&gt;=50), "ناجح", "راسب")</f>
        <v>0</v>
      </c>
      <c r="AB231" s="8">
        <f>(E231*7 + G231*2 + I231*6 + K231*7 + M231*4 + O231*2 + Q231*4 + S231*4 + U231*2 + W231*0) / (7 + 2 + 6 + 7 + 4 + 2 + 4 + 4 + 2 + 0)</f>
        <v>0</v>
      </c>
      <c r="AC231" s="8">
        <f>IF(AB231&gt;=90,"امتياز",IF(AB231&gt;=80,"جيد جدا",IF(AB231&gt;=70,"جيد",IF(AB231&gt;=60,"متوسط",IF(AB231&gt;=50,"مقبول","راسب")))))</f>
        <v>0</v>
      </c>
      <c r="AD231" s="9"/>
      <c r="AE231" s="9"/>
      <c r="AF231" s="9"/>
    </row>
    <row r="232" spans="2:32">
      <c r="B232" s="9"/>
      <c r="C232" s="9"/>
      <c r="D232" s="9"/>
      <c r="AA232" s="9"/>
      <c r="AB232" s="9"/>
      <c r="AC232" s="9"/>
      <c r="AD232" s="9"/>
      <c r="AE232" s="9"/>
      <c r="AF232" s="9"/>
    </row>
    <row r="233" spans="2:32">
      <c r="B233" s="9"/>
      <c r="C233" s="9"/>
      <c r="D233" s="9"/>
      <c r="AA233" s="9"/>
      <c r="AB233" s="9"/>
      <c r="AC233" s="9"/>
      <c r="AD233" s="9"/>
      <c r="AE233" s="9"/>
      <c r="AF233" s="9"/>
    </row>
    <row r="234" spans="2:32">
      <c r="B234" s="7">
        <v>50</v>
      </c>
      <c r="C234" s="7" t="s">
        <v>93</v>
      </c>
      <c r="D234" t="s">
        <v>54</v>
      </c>
      <c r="F234">
        <f>IF(E234&gt;=90,"م",IF(E234&gt;=80,"جـ جـ",IF(E234&gt;=70,"جـ",IF(E234&gt;=60,"ط",IF(E234&gt;=50,"ل","ر")))))</f>
        <v>0</v>
      </c>
      <c r="H234">
        <f>IF(G234&gt;=90,"م",IF(G234&gt;=80,"جـ جـ",IF(G234&gt;=70,"جـ",IF(G234&gt;=60,"ط",IF(G234&gt;=50,"ل","ر")))))</f>
        <v>0</v>
      </c>
      <c r="J234">
        <f>IF(I234&gt;=90,"م",IF(I234&gt;=80,"جـ جـ",IF(I234&gt;=70,"جـ",IF(I234&gt;=60,"ط",IF(I234&gt;=50,"ل","ر")))))</f>
        <v>0</v>
      </c>
      <c r="L234">
        <f>IF(K234&gt;=90,"م",IF(K234&gt;=80,"جـ جـ",IF(K234&gt;=70,"جـ",IF(K234&gt;=60,"ط",IF(K234&gt;=50,"ل","ر")))))</f>
        <v>0</v>
      </c>
      <c r="N234">
        <f>IF(M234&gt;=90,"م",IF(M234&gt;=80,"جـ جـ",IF(M234&gt;=70,"جـ",IF(M234&gt;=60,"ط",IF(M234&gt;=50,"ل","ر")))))</f>
        <v>0</v>
      </c>
      <c r="P234">
        <f>IF(O234&gt;=90,"م",IF(O234&gt;=80,"جـ جـ",IF(O234&gt;=70,"جـ",IF(O234&gt;=60,"ط",IF(O234&gt;=50,"ل","ر")))))</f>
        <v>0</v>
      </c>
      <c r="R234">
        <f>IF(Q234&gt;=90,"م",IF(Q234&gt;=80,"جـ جـ",IF(Q234&gt;=70,"جـ",IF(Q234&gt;=60,"ط",IF(Q234&gt;=50,"ل","ر")))))</f>
        <v>0</v>
      </c>
      <c r="T234">
        <f>IF(S234&gt;=90,"م",IF(S234&gt;=80,"جـ جـ",IF(S234&gt;=70,"جـ",IF(S234&gt;=60,"ط",IF(S234&gt;=50,"ل","ر")))))</f>
        <v>0</v>
      </c>
      <c r="V234">
        <f>IF(U234&gt;=90,"م",IF(U234&gt;=80,"جـ جـ",IF(U234&gt;=70,"جـ",IF(U234&gt;=60,"ط",IF(U234&gt;=50,"ل","ر")))))</f>
        <v>0</v>
      </c>
      <c r="X234">
        <f>IF(W234&gt;=90,"م",IF(W234&gt;=80,"جـ جـ",IF(W234&gt;=70,"جـ",IF(W234&gt;=60,"ط",IF(W234&gt;=50,"ل","ر")))))</f>
        <v>0</v>
      </c>
      <c r="Z234">
        <f>IF(Y234&gt;=90,"م",IF(Y234&gt;=80,"جـ جـ",IF(Y234&gt;=70,"جـ",IF(Y234&gt;=60,"ط",IF(Y234&gt;=50,"ل","ر")))))</f>
        <v>0</v>
      </c>
      <c r="AA234" s="8">
        <f>IF(AND(E234&gt;=50, G234&gt;=50, I234&gt;=50, K234&gt;=50, M234&gt;=50, O234&gt;=50, Q234&gt;=50, S234&gt;=50, U234&gt;=50, W234&gt;=50, Y234&gt;=50), "ناجح", "راسب")</f>
        <v>0</v>
      </c>
      <c r="AB234" s="8">
        <f>(E234*7 + G234*2 + I234*6 + K234*7 + M234*4 + O234*2 + Q234*4 + S234*4 + U234*2 + W234*0) / (7 + 2 + 6 + 7 + 4 + 2 + 4 + 4 + 2 + 0)</f>
        <v>0</v>
      </c>
      <c r="AC234" s="8">
        <f>IF(AB234&gt;=90,"امتياز",IF(AB234&gt;=80,"جيد جدا",IF(AB234&gt;=70,"جيد",IF(AB234&gt;=60,"متوسط",IF(AB234&gt;=50,"مقبول","راسب")))))</f>
        <v>0</v>
      </c>
      <c r="AD234" s="9"/>
      <c r="AE234" s="9"/>
      <c r="AF234" s="9"/>
    </row>
    <row r="235" spans="2:32">
      <c r="B235" s="9"/>
      <c r="C235" s="9"/>
      <c r="D235" s="9"/>
      <c r="AA235" s="9"/>
      <c r="AB235" s="9"/>
      <c r="AC235" s="9"/>
      <c r="AD235" s="9"/>
      <c r="AE235" s="9"/>
      <c r="AF235" s="9"/>
    </row>
    <row r="236" spans="2:32">
      <c r="B236" s="9"/>
      <c r="C236" s="9"/>
      <c r="D236" s="9"/>
      <c r="AA236" s="9"/>
      <c r="AB236" s="9"/>
      <c r="AC236" s="9"/>
      <c r="AD236" s="9"/>
      <c r="AE236" s="9"/>
      <c r="AF236" s="9"/>
    </row>
    <row r="238" spans="2:32">
      <c r="C238" s="9" t="s">
        <v>29</v>
      </c>
    </row>
    <row r="239" spans="2:32">
      <c r="C239" s="9" t="s">
        <v>30</v>
      </c>
      <c r="F239" s="9" t="s">
        <v>33</v>
      </c>
      <c r="K239" s="9" t="s">
        <v>36</v>
      </c>
      <c r="P239" s="9" t="s">
        <v>39</v>
      </c>
      <c r="W239" s="9" t="s">
        <v>42</v>
      </c>
      <c r="AB239" s="9" t="s">
        <v>42</v>
      </c>
      <c r="AF239" s="9" t="s">
        <v>45</v>
      </c>
    </row>
    <row r="240" spans="2:32">
      <c r="C240" s="9" t="s">
        <v>31</v>
      </c>
      <c r="F240" s="9" t="s">
        <v>34</v>
      </c>
      <c r="K240" s="9" t="s">
        <v>37</v>
      </c>
      <c r="P240" s="9" t="s">
        <v>40</v>
      </c>
      <c r="W240" s="9" t="s">
        <v>43</v>
      </c>
      <c r="AB240" s="9" t="s">
        <v>44</v>
      </c>
      <c r="AF240" s="9" t="s">
        <v>46</v>
      </c>
    </row>
    <row r="241" spans="2:16">
      <c r="C241" s="9" t="s">
        <v>32</v>
      </c>
      <c r="F241" s="9" t="s">
        <v>35</v>
      </c>
      <c r="K241" s="9" t="s">
        <v>38</v>
      </c>
      <c r="P241" s="9" t="s">
        <v>41</v>
      </c>
    </row>
    <row r="243" spans="2:16">
      <c r="B243" s="9" t="s">
        <v>47</v>
      </c>
      <c r="C243" s="9" t="s">
        <v>48</v>
      </c>
    </row>
    <row r="244" spans="2:16">
      <c r="B244" s="9" t="s">
        <v>49</v>
      </c>
      <c r="C244" s="9" t="s">
        <v>50</v>
      </c>
    </row>
    <row r="245" spans="2:16">
      <c r="B245" s="9" t="s">
        <v>51</v>
      </c>
      <c r="C245" s="9" t="s">
        <v>52</v>
      </c>
    </row>
  </sheetData>
  <mergeCells count="605">
    <mergeCell ref="G1:N1"/>
    <mergeCell ref="B5:B6"/>
    <mergeCell ref="D5:D6"/>
    <mergeCell ref="E5:F5"/>
    <mergeCell ref="E6:F6"/>
    <mergeCell ref="G5:H5"/>
    <mergeCell ref="G6:H6"/>
    <mergeCell ref="I5:J5"/>
    <mergeCell ref="I6:J6"/>
    <mergeCell ref="K5:L5"/>
    <mergeCell ref="K6:L6"/>
    <mergeCell ref="M5:N5"/>
    <mergeCell ref="M6:N6"/>
    <mergeCell ref="O5:P5"/>
    <mergeCell ref="O6:P6"/>
    <mergeCell ref="Q5:R5"/>
    <mergeCell ref="Q6:R6"/>
    <mergeCell ref="S5:T5"/>
    <mergeCell ref="S6:T6"/>
    <mergeCell ref="U5:V5"/>
    <mergeCell ref="U6:V6"/>
    <mergeCell ref="W5:X5"/>
    <mergeCell ref="W6:X6"/>
    <mergeCell ref="Y5:Z5"/>
    <mergeCell ref="Y6:Z6"/>
    <mergeCell ref="AA5:AA6"/>
    <mergeCell ref="AB5:AB6"/>
    <mergeCell ref="AC5:AC6"/>
    <mergeCell ref="AD5:AD6"/>
    <mergeCell ref="AE5:AE6"/>
    <mergeCell ref="AF5:AF6"/>
    <mergeCell ref="B7:B9"/>
    <mergeCell ref="C7:C9"/>
    <mergeCell ref="D7:D9"/>
    <mergeCell ref="AA7:AA9"/>
    <mergeCell ref="AB7:AB9"/>
    <mergeCell ref="AC7:AC9"/>
    <mergeCell ref="AD7:AD9"/>
    <mergeCell ref="AE7:AE9"/>
    <mergeCell ref="AF7:AF9"/>
    <mergeCell ref="B10:B12"/>
    <mergeCell ref="C10:C12"/>
    <mergeCell ref="D10:D12"/>
    <mergeCell ref="AA10:AA12"/>
    <mergeCell ref="AB10:AB12"/>
    <mergeCell ref="AC10:AC12"/>
    <mergeCell ref="AD10:AD12"/>
    <mergeCell ref="AE10:AE12"/>
    <mergeCell ref="AF10:AF12"/>
    <mergeCell ref="B13:B15"/>
    <mergeCell ref="C13:C15"/>
    <mergeCell ref="D13:D15"/>
    <mergeCell ref="AA13:AA15"/>
    <mergeCell ref="AB13:AB15"/>
    <mergeCell ref="AC13:AC15"/>
    <mergeCell ref="AD13:AD15"/>
    <mergeCell ref="AE13:AE15"/>
    <mergeCell ref="AF13:AF15"/>
    <mergeCell ref="B16:B18"/>
    <mergeCell ref="C16:C18"/>
    <mergeCell ref="D16:D18"/>
    <mergeCell ref="AA16:AA18"/>
    <mergeCell ref="AB16:AB18"/>
    <mergeCell ref="AC16:AC18"/>
    <mergeCell ref="AD16:AD18"/>
    <mergeCell ref="AE16:AE18"/>
    <mergeCell ref="AF16:AF18"/>
    <mergeCell ref="B19:B21"/>
    <mergeCell ref="C19:C21"/>
    <mergeCell ref="D19:D21"/>
    <mergeCell ref="AA19:AA21"/>
    <mergeCell ref="AB19:AB21"/>
    <mergeCell ref="AC19:AC21"/>
    <mergeCell ref="AD19:AD21"/>
    <mergeCell ref="AE19:AE21"/>
    <mergeCell ref="AF19:AF21"/>
    <mergeCell ref="B22:B24"/>
    <mergeCell ref="C22:C24"/>
    <mergeCell ref="D22:D24"/>
    <mergeCell ref="AA22:AA24"/>
    <mergeCell ref="AB22:AB24"/>
    <mergeCell ref="AC22:AC24"/>
    <mergeCell ref="AD22:AD24"/>
    <mergeCell ref="AE22:AE24"/>
    <mergeCell ref="AF22:AF24"/>
    <mergeCell ref="B25:B27"/>
    <mergeCell ref="C25:C27"/>
    <mergeCell ref="D25:D27"/>
    <mergeCell ref="AA25:AA27"/>
    <mergeCell ref="AB25:AB27"/>
    <mergeCell ref="AC25:AC27"/>
    <mergeCell ref="AD25:AD27"/>
    <mergeCell ref="AE25:AE27"/>
    <mergeCell ref="AF25:AF27"/>
    <mergeCell ref="B28:B30"/>
    <mergeCell ref="C28:C30"/>
    <mergeCell ref="D28:D30"/>
    <mergeCell ref="AA28:AA30"/>
    <mergeCell ref="AB28:AB30"/>
    <mergeCell ref="AC28:AC30"/>
    <mergeCell ref="AD28:AD30"/>
    <mergeCell ref="AE28:AE30"/>
    <mergeCell ref="AF28:AF30"/>
    <mergeCell ref="B31:B33"/>
    <mergeCell ref="C31:C33"/>
    <mergeCell ref="D31:D33"/>
    <mergeCell ref="AA31:AA33"/>
    <mergeCell ref="AB31:AB33"/>
    <mergeCell ref="AC31:AC33"/>
    <mergeCell ref="AD31:AD33"/>
    <mergeCell ref="AE31:AE33"/>
    <mergeCell ref="AF31:AF33"/>
    <mergeCell ref="B34:B36"/>
    <mergeCell ref="C34:C36"/>
    <mergeCell ref="D34:D36"/>
    <mergeCell ref="AA34:AA36"/>
    <mergeCell ref="AB34:AB36"/>
    <mergeCell ref="AC34:AC36"/>
    <mergeCell ref="AD34:AD36"/>
    <mergeCell ref="AE34:AE36"/>
    <mergeCell ref="AF34:AF36"/>
    <mergeCell ref="G51:N51"/>
    <mergeCell ref="B55:B56"/>
    <mergeCell ref="D55:D56"/>
    <mergeCell ref="E55:F55"/>
    <mergeCell ref="E56:F56"/>
    <mergeCell ref="G55:H55"/>
    <mergeCell ref="G56:H56"/>
    <mergeCell ref="I55:J55"/>
    <mergeCell ref="I56:J56"/>
    <mergeCell ref="K55:L55"/>
    <mergeCell ref="K56:L56"/>
    <mergeCell ref="M55:N55"/>
    <mergeCell ref="M56:N56"/>
    <mergeCell ref="O55:P55"/>
    <mergeCell ref="O56:P56"/>
    <mergeCell ref="Q55:R55"/>
    <mergeCell ref="Q56:R56"/>
    <mergeCell ref="S55:T55"/>
    <mergeCell ref="S56:T56"/>
    <mergeCell ref="U55:V55"/>
    <mergeCell ref="U56:V56"/>
    <mergeCell ref="W55:X55"/>
    <mergeCell ref="W56:X56"/>
    <mergeCell ref="Y55:Z55"/>
    <mergeCell ref="Y56:Z56"/>
    <mergeCell ref="AA55:AA56"/>
    <mergeCell ref="AB55:AB56"/>
    <mergeCell ref="AC55:AC56"/>
    <mergeCell ref="AD55:AD56"/>
    <mergeCell ref="AE55:AE56"/>
    <mergeCell ref="AF55:AF56"/>
    <mergeCell ref="B57:B59"/>
    <mergeCell ref="C57:C59"/>
    <mergeCell ref="D57:D59"/>
    <mergeCell ref="AA57:AA59"/>
    <mergeCell ref="AB57:AB59"/>
    <mergeCell ref="AC57:AC59"/>
    <mergeCell ref="AD57:AD59"/>
    <mergeCell ref="AE57:AE59"/>
    <mergeCell ref="AF57:AF59"/>
    <mergeCell ref="B60:B62"/>
    <mergeCell ref="C60:C62"/>
    <mergeCell ref="D60:D62"/>
    <mergeCell ref="AA60:AA62"/>
    <mergeCell ref="AB60:AB62"/>
    <mergeCell ref="AC60:AC62"/>
    <mergeCell ref="AD60:AD62"/>
    <mergeCell ref="AE60:AE62"/>
    <mergeCell ref="AF60:AF62"/>
    <mergeCell ref="B63:B65"/>
    <mergeCell ref="C63:C65"/>
    <mergeCell ref="D63:D65"/>
    <mergeCell ref="AA63:AA65"/>
    <mergeCell ref="AB63:AB65"/>
    <mergeCell ref="AC63:AC65"/>
    <mergeCell ref="AD63:AD65"/>
    <mergeCell ref="AE63:AE65"/>
    <mergeCell ref="AF63:AF65"/>
    <mergeCell ref="B66:B68"/>
    <mergeCell ref="C66:C68"/>
    <mergeCell ref="D66:D68"/>
    <mergeCell ref="AA66:AA68"/>
    <mergeCell ref="AB66:AB68"/>
    <mergeCell ref="AC66:AC68"/>
    <mergeCell ref="AD66:AD68"/>
    <mergeCell ref="AE66:AE68"/>
    <mergeCell ref="AF66:AF68"/>
    <mergeCell ref="B69:B71"/>
    <mergeCell ref="C69:C71"/>
    <mergeCell ref="D69:D71"/>
    <mergeCell ref="AA69:AA71"/>
    <mergeCell ref="AB69:AB71"/>
    <mergeCell ref="AC69:AC71"/>
    <mergeCell ref="AD69:AD71"/>
    <mergeCell ref="AE69:AE71"/>
    <mergeCell ref="AF69:AF71"/>
    <mergeCell ref="B72:B74"/>
    <mergeCell ref="C72:C74"/>
    <mergeCell ref="D72:D74"/>
    <mergeCell ref="AA72:AA74"/>
    <mergeCell ref="AB72:AB74"/>
    <mergeCell ref="AC72:AC74"/>
    <mergeCell ref="AD72:AD74"/>
    <mergeCell ref="AE72:AE74"/>
    <mergeCell ref="AF72:AF74"/>
    <mergeCell ref="B75:B77"/>
    <mergeCell ref="C75:C77"/>
    <mergeCell ref="D75:D77"/>
    <mergeCell ref="AA75:AA77"/>
    <mergeCell ref="AB75:AB77"/>
    <mergeCell ref="AC75:AC77"/>
    <mergeCell ref="AD75:AD77"/>
    <mergeCell ref="AE75:AE77"/>
    <mergeCell ref="AF75:AF77"/>
    <mergeCell ref="B78:B80"/>
    <mergeCell ref="C78:C80"/>
    <mergeCell ref="D78:D80"/>
    <mergeCell ref="AA78:AA80"/>
    <mergeCell ref="AB78:AB80"/>
    <mergeCell ref="AC78:AC80"/>
    <mergeCell ref="AD78:AD80"/>
    <mergeCell ref="AE78:AE80"/>
    <mergeCell ref="AF78:AF80"/>
    <mergeCell ref="B81:B83"/>
    <mergeCell ref="C81:C83"/>
    <mergeCell ref="D81:D83"/>
    <mergeCell ref="AA81:AA83"/>
    <mergeCell ref="AB81:AB83"/>
    <mergeCell ref="AC81:AC83"/>
    <mergeCell ref="AD81:AD83"/>
    <mergeCell ref="AE81:AE83"/>
    <mergeCell ref="AF81:AF83"/>
    <mergeCell ref="B84:B86"/>
    <mergeCell ref="C84:C86"/>
    <mergeCell ref="D84:D86"/>
    <mergeCell ref="AA84:AA86"/>
    <mergeCell ref="AB84:AB86"/>
    <mergeCell ref="AC84:AC86"/>
    <mergeCell ref="AD84:AD86"/>
    <mergeCell ref="AE84:AE86"/>
    <mergeCell ref="AF84:AF86"/>
    <mergeCell ref="G101:N101"/>
    <mergeCell ref="B105:B106"/>
    <mergeCell ref="D105:D106"/>
    <mergeCell ref="E105:F105"/>
    <mergeCell ref="E106:F106"/>
    <mergeCell ref="G105:H105"/>
    <mergeCell ref="G106:H106"/>
    <mergeCell ref="I105:J105"/>
    <mergeCell ref="I106:J106"/>
    <mergeCell ref="K105:L105"/>
    <mergeCell ref="K106:L106"/>
    <mergeCell ref="M105:N105"/>
    <mergeCell ref="M106:N106"/>
    <mergeCell ref="O105:P105"/>
    <mergeCell ref="O106:P106"/>
    <mergeCell ref="Q105:R105"/>
    <mergeCell ref="Q106:R106"/>
    <mergeCell ref="S105:T105"/>
    <mergeCell ref="S106:T106"/>
    <mergeCell ref="U105:V105"/>
    <mergeCell ref="U106:V106"/>
    <mergeCell ref="W105:X105"/>
    <mergeCell ref="W106:X106"/>
    <mergeCell ref="Y105:Z105"/>
    <mergeCell ref="Y106:Z106"/>
    <mergeCell ref="AA105:AA106"/>
    <mergeCell ref="AB105:AB106"/>
    <mergeCell ref="AC105:AC106"/>
    <mergeCell ref="AD105:AD106"/>
    <mergeCell ref="AE105:AE106"/>
    <mergeCell ref="AF105:AF106"/>
    <mergeCell ref="B107:B109"/>
    <mergeCell ref="C107:C109"/>
    <mergeCell ref="D107:D109"/>
    <mergeCell ref="AA107:AA109"/>
    <mergeCell ref="AB107:AB109"/>
    <mergeCell ref="AC107:AC109"/>
    <mergeCell ref="AD107:AD109"/>
    <mergeCell ref="AE107:AE109"/>
    <mergeCell ref="AF107:AF109"/>
    <mergeCell ref="B110:B112"/>
    <mergeCell ref="C110:C112"/>
    <mergeCell ref="D110:D112"/>
    <mergeCell ref="AA110:AA112"/>
    <mergeCell ref="AB110:AB112"/>
    <mergeCell ref="AC110:AC112"/>
    <mergeCell ref="AD110:AD112"/>
    <mergeCell ref="AE110:AE112"/>
    <mergeCell ref="AF110:AF112"/>
    <mergeCell ref="B113:B115"/>
    <mergeCell ref="C113:C115"/>
    <mergeCell ref="D113:D115"/>
    <mergeCell ref="AA113:AA115"/>
    <mergeCell ref="AB113:AB115"/>
    <mergeCell ref="AC113:AC115"/>
    <mergeCell ref="AD113:AD115"/>
    <mergeCell ref="AE113:AE115"/>
    <mergeCell ref="AF113:AF115"/>
    <mergeCell ref="B116:B118"/>
    <mergeCell ref="C116:C118"/>
    <mergeCell ref="D116:D118"/>
    <mergeCell ref="AA116:AA118"/>
    <mergeCell ref="AB116:AB118"/>
    <mergeCell ref="AC116:AC118"/>
    <mergeCell ref="AD116:AD118"/>
    <mergeCell ref="AE116:AE118"/>
    <mergeCell ref="AF116:AF118"/>
    <mergeCell ref="B119:B121"/>
    <mergeCell ref="C119:C121"/>
    <mergeCell ref="D119:D121"/>
    <mergeCell ref="AA119:AA121"/>
    <mergeCell ref="AB119:AB121"/>
    <mergeCell ref="AC119:AC121"/>
    <mergeCell ref="AD119:AD121"/>
    <mergeCell ref="AE119:AE121"/>
    <mergeCell ref="AF119:AF121"/>
    <mergeCell ref="B122:B124"/>
    <mergeCell ref="C122:C124"/>
    <mergeCell ref="D122:D124"/>
    <mergeCell ref="AA122:AA124"/>
    <mergeCell ref="AB122:AB124"/>
    <mergeCell ref="AC122:AC124"/>
    <mergeCell ref="AD122:AD124"/>
    <mergeCell ref="AE122:AE124"/>
    <mergeCell ref="AF122:AF124"/>
    <mergeCell ref="B125:B127"/>
    <mergeCell ref="C125:C127"/>
    <mergeCell ref="D125:D127"/>
    <mergeCell ref="AA125:AA127"/>
    <mergeCell ref="AB125:AB127"/>
    <mergeCell ref="AC125:AC127"/>
    <mergeCell ref="AD125:AD127"/>
    <mergeCell ref="AE125:AE127"/>
    <mergeCell ref="AF125:AF127"/>
    <mergeCell ref="B128:B130"/>
    <mergeCell ref="C128:C130"/>
    <mergeCell ref="D128:D130"/>
    <mergeCell ref="AA128:AA130"/>
    <mergeCell ref="AB128:AB130"/>
    <mergeCell ref="AC128:AC130"/>
    <mergeCell ref="AD128:AD130"/>
    <mergeCell ref="AE128:AE130"/>
    <mergeCell ref="AF128:AF130"/>
    <mergeCell ref="B131:B133"/>
    <mergeCell ref="C131:C133"/>
    <mergeCell ref="D131:D133"/>
    <mergeCell ref="AA131:AA133"/>
    <mergeCell ref="AB131:AB133"/>
    <mergeCell ref="AC131:AC133"/>
    <mergeCell ref="AD131:AD133"/>
    <mergeCell ref="AE131:AE133"/>
    <mergeCell ref="AF131:AF133"/>
    <mergeCell ref="B134:B136"/>
    <mergeCell ref="C134:C136"/>
    <mergeCell ref="D134:D136"/>
    <mergeCell ref="AA134:AA136"/>
    <mergeCell ref="AB134:AB136"/>
    <mergeCell ref="AC134:AC136"/>
    <mergeCell ref="AD134:AD136"/>
    <mergeCell ref="AE134:AE136"/>
    <mergeCell ref="AF134:AF136"/>
    <mergeCell ref="G151:N151"/>
    <mergeCell ref="B155:B156"/>
    <mergeCell ref="D155:D156"/>
    <mergeCell ref="E155:F155"/>
    <mergeCell ref="E156:F156"/>
    <mergeCell ref="G155:H155"/>
    <mergeCell ref="G156:H156"/>
    <mergeCell ref="I155:J155"/>
    <mergeCell ref="I156:J156"/>
    <mergeCell ref="K155:L155"/>
    <mergeCell ref="K156:L156"/>
    <mergeCell ref="M155:N155"/>
    <mergeCell ref="M156:N156"/>
    <mergeCell ref="O155:P155"/>
    <mergeCell ref="O156:P156"/>
    <mergeCell ref="Q155:R155"/>
    <mergeCell ref="Q156:R156"/>
    <mergeCell ref="S155:T155"/>
    <mergeCell ref="S156:T156"/>
    <mergeCell ref="U155:V155"/>
    <mergeCell ref="U156:V156"/>
    <mergeCell ref="W155:X155"/>
    <mergeCell ref="W156:X156"/>
    <mergeCell ref="Y155:Z155"/>
    <mergeCell ref="Y156:Z156"/>
    <mergeCell ref="AA155:AA156"/>
    <mergeCell ref="AB155:AB156"/>
    <mergeCell ref="AC155:AC156"/>
    <mergeCell ref="AD155:AD156"/>
    <mergeCell ref="AE155:AE156"/>
    <mergeCell ref="AF155:AF156"/>
    <mergeCell ref="B157:B159"/>
    <mergeCell ref="C157:C159"/>
    <mergeCell ref="D157:D159"/>
    <mergeCell ref="AA157:AA159"/>
    <mergeCell ref="AB157:AB159"/>
    <mergeCell ref="AC157:AC159"/>
    <mergeCell ref="AD157:AD159"/>
    <mergeCell ref="AE157:AE159"/>
    <mergeCell ref="AF157:AF159"/>
    <mergeCell ref="B160:B162"/>
    <mergeCell ref="C160:C162"/>
    <mergeCell ref="D160:D162"/>
    <mergeCell ref="AA160:AA162"/>
    <mergeCell ref="AB160:AB162"/>
    <mergeCell ref="AC160:AC162"/>
    <mergeCell ref="AD160:AD162"/>
    <mergeCell ref="AE160:AE162"/>
    <mergeCell ref="AF160:AF162"/>
    <mergeCell ref="B163:B165"/>
    <mergeCell ref="C163:C165"/>
    <mergeCell ref="D163:D165"/>
    <mergeCell ref="AA163:AA165"/>
    <mergeCell ref="AB163:AB165"/>
    <mergeCell ref="AC163:AC165"/>
    <mergeCell ref="AD163:AD165"/>
    <mergeCell ref="AE163:AE165"/>
    <mergeCell ref="AF163:AF165"/>
    <mergeCell ref="B166:B168"/>
    <mergeCell ref="C166:C168"/>
    <mergeCell ref="D166:D168"/>
    <mergeCell ref="AA166:AA168"/>
    <mergeCell ref="AB166:AB168"/>
    <mergeCell ref="AC166:AC168"/>
    <mergeCell ref="AD166:AD168"/>
    <mergeCell ref="AE166:AE168"/>
    <mergeCell ref="AF166:AF168"/>
    <mergeCell ref="B169:B171"/>
    <mergeCell ref="C169:C171"/>
    <mergeCell ref="D169:D171"/>
    <mergeCell ref="AA169:AA171"/>
    <mergeCell ref="AB169:AB171"/>
    <mergeCell ref="AC169:AC171"/>
    <mergeCell ref="AD169:AD171"/>
    <mergeCell ref="AE169:AE171"/>
    <mergeCell ref="AF169:AF171"/>
    <mergeCell ref="B172:B174"/>
    <mergeCell ref="C172:C174"/>
    <mergeCell ref="D172:D174"/>
    <mergeCell ref="AA172:AA174"/>
    <mergeCell ref="AB172:AB174"/>
    <mergeCell ref="AC172:AC174"/>
    <mergeCell ref="AD172:AD174"/>
    <mergeCell ref="AE172:AE174"/>
    <mergeCell ref="AF172:AF174"/>
    <mergeCell ref="B175:B177"/>
    <mergeCell ref="C175:C177"/>
    <mergeCell ref="D175:D177"/>
    <mergeCell ref="AA175:AA177"/>
    <mergeCell ref="AB175:AB177"/>
    <mergeCell ref="AC175:AC177"/>
    <mergeCell ref="AD175:AD177"/>
    <mergeCell ref="AE175:AE177"/>
    <mergeCell ref="AF175:AF177"/>
    <mergeCell ref="B178:B180"/>
    <mergeCell ref="C178:C180"/>
    <mergeCell ref="D178:D180"/>
    <mergeCell ref="AA178:AA180"/>
    <mergeCell ref="AB178:AB180"/>
    <mergeCell ref="AC178:AC180"/>
    <mergeCell ref="AD178:AD180"/>
    <mergeCell ref="AE178:AE180"/>
    <mergeCell ref="AF178:AF180"/>
    <mergeCell ref="B181:B183"/>
    <mergeCell ref="C181:C183"/>
    <mergeCell ref="D181:D183"/>
    <mergeCell ref="AA181:AA183"/>
    <mergeCell ref="AB181:AB183"/>
    <mergeCell ref="AC181:AC183"/>
    <mergeCell ref="AD181:AD183"/>
    <mergeCell ref="AE181:AE183"/>
    <mergeCell ref="AF181:AF183"/>
    <mergeCell ref="B184:B186"/>
    <mergeCell ref="C184:C186"/>
    <mergeCell ref="D184:D186"/>
    <mergeCell ref="AA184:AA186"/>
    <mergeCell ref="AB184:AB186"/>
    <mergeCell ref="AC184:AC186"/>
    <mergeCell ref="AD184:AD186"/>
    <mergeCell ref="AE184:AE186"/>
    <mergeCell ref="AF184:AF186"/>
    <mergeCell ref="G201:N201"/>
    <mergeCell ref="B205:B206"/>
    <mergeCell ref="D205:D206"/>
    <mergeCell ref="E205:F205"/>
    <mergeCell ref="E206:F206"/>
    <mergeCell ref="G205:H205"/>
    <mergeCell ref="G206:H206"/>
    <mergeCell ref="I205:J205"/>
    <mergeCell ref="I206:J206"/>
    <mergeCell ref="K205:L205"/>
    <mergeCell ref="K206:L206"/>
    <mergeCell ref="M205:N205"/>
    <mergeCell ref="M206:N206"/>
    <mergeCell ref="O205:P205"/>
    <mergeCell ref="O206:P206"/>
    <mergeCell ref="Q205:R205"/>
    <mergeCell ref="Q206:R206"/>
    <mergeCell ref="S205:T205"/>
    <mergeCell ref="S206:T206"/>
    <mergeCell ref="U205:V205"/>
    <mergeCell ref="U206:V206"/>
    <mergeCell ref="W205:X205"/>
    <mergeCell ref="W206:X206"/>
    <mergeCell ref="Y205:Z205"/>
    <mergeCell ref="Y206:Z206"/>
    <mergeCell ref="AA205:AA206"/>
    <mergeCell ref="AB205:AB206"/>
    <mergeCell ref="AC205:AC206"/>
    <mergeCell ref="AD205:AD206"/>
    <mergeCell ref="AE205:AE206"/>
    <mergeCell ref="AF205:AF206"/>
    <mergeCell ref="B207:B209"/>
    <mergeCell ref="C207:C209"/>
    <mergeCell ref="D207:D209"/>
    <mergeCell ref="AA207:AA209"/>
    <mergeCell ref="AB207:AB209"/>
    <mergeCell ref="AC207:AC209"/>
    <mergeCell ref="AD207:AD209"/>
    <mergeCell ref="AE207:AE209"/>
    <mergeCell ref="AF207:AF209"/>
    <mergeCell ref="B210:B212"/>
    <mergeCell ref="C210:C212"/>
    <mergeCell ref="D210:D212"/>
    <mergeCell ref="AA210:AA212"/>
    <mergeCell ref="AB210:AB212"/>
    <mergeCell ref="AC210:AC212"/>
    <mergeCell ref="AD210:AD212"/>
    <mergeCell ref="AE210:AE212"/>
    <mergeCell ref="AF210:AF212"/>
    <mergeCell ref="B213:B215"/>
    <mergeCell ref="C213:C215"/>
    <mergeCell ref="D213:D215"/>
    <mergeCell ref="AA213:AA215"/>
    <mergeCell ref="AB213:AB215"/>
    <mergeCell ref="AC213:AC215"/>
    <mergeCell ref="AD213:AD215"/>
    <mergeCell ref="AE213:AE215"/>
    <mergeCell ref="AF213:AF215"/>
    <mergeCell ref="B216:B218"/>
    <mergeCell ref="C216:C218"/>
    <mergeCell ref="D216:D218"/>
    <mergeCell ref="AA216:AA218"/>
    <mergeCell ref="AB216:AB218"/>
    <mergeCell ref="AC216:AC218"/>
    <mergeCell ref="AD216:AD218"/>
    <mergeCell ref="AE216:AE218"/>
    <mergeCell ref="AF216:AF218"/>
    <mergeCell ref="B219:B221"/>
    <mergeCell ref="C219:C221"/>
    <mergeCell ref="D219:D221"/>
    <mergeCell ref="AA219:AA221"/>
    <mergeCell ref="AB219:AB221"/>
    <mergeCell ref="AC219:AC221"/>
    <mergeCell ref="AD219:AD221"/>
    <mergeCell ref="AE219:AE221"/>
    <mergeCell ref="AF219:AF221"/>
    <mergeCell ref="B222:B224"/>
    <mergeCell ref="C222:C224"/>
    <mergeCell ref="D222:D224"/>
    <mergeCell ref="AA222:AA224"/>
    <mergeCell ref="AB222:AB224"/>
    <mergeCell ref="AC222:AC224"/>
    <mergeCell ref="AD222:AD224"/>
    <mergeCell ref="AE222:AE224"/>
    <mergeCell ref="AF222:AF224"/>
    <mergeCell ref="B225:B227"/>
    <mergeCell ref="C225:C227"/>
    <mergeCell ref="D225:D227"/>
    <mergeCell ref="AA225:AA227"/>
    <mergeCell ref="AB225:AB227"/>
    <mergeCell ref="AC225:AC227"/>
    <mergeCell ref="AD225:AD227"/>
    <mergeCell ref="AE225:AE227"/>
    <mergeCell ref="AF225:AF227"/>
    <mergeCell ref="B228:B230"/>
    <mergeCell ref="C228:C230"/>
    <mergeCell ref="D228:D230"/>
    <mergeCell ref="AA228:AA230"/>
    <mergeCell ref="AB228:AB230"/>
    <mergeCell ref="AC228:AC230"/>
    <mergeCell ref="AD228:AD230"/>
    <mergeCell ref="AE228:AE230"/>
    <mergeCell ref="AF228:AF230"/>
    <mergeCell ref="B231:B233"/>
    <mergeCell ref="C231:C233"/>
    <mergeCell ref="D231:D233"/>
    <mergeCell ref="AA231:AA233"/>
    <mergeCell ref="AB231:AB233"/>
    <mergeCell ref="AC231:AC233"/>
    <mergeCell ref="AD231:AD233"/>
    <mergeCell ref="AE231:AE233"/>
    <mergeCell ref="AF231:AF233"/>
    <mergeCell ref="B234:B236"/>
    <mergeCell ref="C234:C236"/>
    <mergeCell ref="D234:D236"/>
    <mergeCell ref="AA234:AA236"/>
    <mergeCell ref="AB234:AB236"/>
    <mergeCell ref="AC234:AC236"/>
    <mergeCell ref="AD234:AD236"/>
    <mergeCell ref="AE234:AE236"/>
    <mergeCell ref="AF234:AF236"/>
  </mergeCells>
  <conditionalFormatting sqref="B105:AF136">
    <cfRule type="notContainsBlanks" dxfId="0" priority="445">
      <formula>LEN(TRIM(B105))&gt;0</formula>
    </cfRule>
    <cfRule type="containsBlanks" dxfId="0" priority="446">
      <formula>LEN(TRIM(B105))=0</formula>
    </cfRule>
  </conditionalFormatting>
  <conditionalFormatting sqref="B155:AF186">
    <cfRule type="notContainsBlanks" dxfId="0" priority="667">
      <formula>LEN(TRIM(B155))&gt;0</formula>
    </cfRule>
    <cfRule type="containsBlanks" dxfId="0" priority="668">
      <formula>LEN(TRIM(B155))=0</formula>
    </cfRule>
  </conditionalFormatting>
  <conditionalFormatting sqref="B205:AF236">
    <cfRule type="notContainsBlanks" dxfId="0" priority="889">
      <formula>LEN(TRIM(B205))&gt;0</formula>
    </cfRule>
    <cfRule type="containsBlanks" dxfId="0" priority="890">
      <formula>LEN(TRIM(B205))=0</formula>
    </cfRule>
  </conditionalFormatting>
  <conditionalFormatting sqref="B55:AF86">
    <cfRule type="notContainsBlanks" dxfId="0" priority="223">
      <formula>LEN(TRIM(B55))&gt;0</formula>
    </cfRule>
    <cfRule type="containsBlanks" dxfId="0" priority="224">
      <formula>LEN(TRIM(B55))=0</formula>
    </cfRule>
  </conditionalFormatting>
  <conditionalFormatting sqref="B5:AF36">
    <cfRule type="notContainsBlanks" dxfId="0" priority="1">
      <formula>LEN(TRIM(B5))&gt;0</formula>
    </cfRule>
    <cfRule type="containsBlanks" dxfId="0" priority="2">
      <formula>LEN(TRIM(B5))=0</formula>
    </cfRule>
  </conditionalFormatting>
  <conditionalFormatting sqref="D105:D109">
    <cfRule type="cellIs" dxfId="1" priority="448" operator="equal">
      <formula>ر</formula>
    </cfRule>
  </conditionalFormatting>
  <conditionalFormatting sqref="D108:D112">
    <cfRule type="cellIs" dxfId="1" priority="470" operator="equal">
      <formula>ر</formula>
    </cfRule>
  </conditionalFormatting>
  <conditionalFormatting sqref="D111:D115">
    <cfRule type="cellIs" dxfId="1" priority="492" operator="equal">
      <formula>ر</formula>
    </cfRule>
  </conditionalFormatting>
  <conditionalFormatting sqref="D114:D118">
    <cfRule type="cellIs" dxfId="1" priority="514" operator="equal">
      <formula>ر</formula>
    </cfRule>
  </conditionalFormatting>
  <conditionalFormatting sqref="D117:D121">
    <cfRule type="cellIs" dxfId="1" priority="536" operator="equal">
      <formula>ر</formula>
    </cfRule>
  </conditionalFormatting>
  <conditionalFormatting sqref="D11:D15">
    <cfRule type="cellIs" dxfId="1" priority="48" operator="equal">
      <formula>ر</formula>
    </cfRule>
  </conditionalFormatting>
  <conditionalFormatting sqref="D120:D124">
    <cfRule type="cellIs" dxfId="1" priority="558" operator="equal">
      <formula>ر</formula>
    </cfRule>
  </conditionalFormatting>
  <conditionalFormatting sqref="D123:D127">
    <cfRule type="cellIs" dxfId="1" priority="580" operator="equal">
      <formula>ر</formula>
    </cfRule>
  </conditionalFormatting>
  <conditionalFormatting sqref="D126:D130">
    <cfRule type="cellIs" dxfId="1" priority="602" operator="equal">
      <formula>ر</formula>
    </cfRule>
  </conditionalFormatting>
  <conditionalFormatting sqref="D129:D133">
    <cfRule type="cellIs" dxfId="1" priority="624" operator="equal">
      <formula>ر</formula>
    </cfRule>
  </conditionalFormatting>
  <conditionalFormatting sqref="D132:D136">
    <cfRule type="cellIs" dxfId="1" priority="646" operator="equal">
      <formula>ر</formula>
    </cfRule>
  </conditionalFormatting>
  <conditionalFormatting sqref="D14:D18">
    <cfRule type="cellIs" dxfId="1" priority="70" operator="equal">
      <formula>ر</formula>
    </cfRule>
  </conditionalFormatting>
  <conditionalFormatting sqref="D155:D159">
    <cfRule type="cellIs" dxfId="1" priority="670" operator="equal">
      <formula>ر</formula>
    </cfRule>
  </conditionalFormatting>
  <conditionalFormatting sqref="D158:D162">
    <cfRule type="cellIs" dxfId="1" priority="692" operator="equal">
      <formula>ر</formula>
    </cfRule>
  </conditionalFormatting>
  <conditionalFormatting sqref="D161:D165">
    <cfRule type="cellIs" dxfId="1" priority="714" operator="equal">
      <formula>ر</formula>
    </cfRule>
  </conditionalFormatting>
  <conditionalFormatting sqref="D164:D168">
    <cfRule type="cellIs" dxfId="1" priority="736" operator="equal">
      <formula>ر</formula>
    </cfRule>
  </conditionalFormatting>
  <conditionalFormatting sqref="D167:D171">
    <cfRule type="cellIs" dxfId="1" priority="758" operator="equal">
      <formula>ر</formula>
    </cfRule>
  </conditionalFormatting>
  <conditionalFormatting sqref="D170:D174">
    <cfRule type="cellIs" dxfId="1" priority="780" operator="equal">
      <formula>ر</formula>
    </cfRule>
  </conditionalFormatting>
  <conditionalFormatting sqref="D173:D177">
    <cfRule type="cellIs" dxfId="1" priority="802" operator="equal">
      <formula>ر</formula>
    </cfRule>
  </conditionalFormatting>
  <conditionalFormatting sqref="D176:D180">
    <cfRule type="cellIs" dxfId="1" priority="824" operator="equal">
      <formula>ر</formula>
    </cfRule>
  </conditionalFormatting>
  <conditionalFormatting sqref="D179:D183">
    <cfRule type="cellIs" dxfId="1" priority="846" operator="equal">
      <formula>ر</formula>
    </cfRule>
  </conditionalFormatting>
  <conditionalFormatting sqref="D17:D21">
    <cfRule type="cellIs" dxfId="1" priority="92" operator="equal">
      <formula>ر</formula>
    </cfRule>
  </conditionalFormatting>
  <conditionalFormatting sqref="D182:D186">
    <cfRule type="cellIs" dxfId="1" priority="868" operator="equal">
      <formula>ر</formula>
    </cfRule>
  </conditionalFormatting>
  <conditionalFormatting sqref="D205:D209">
    <cfRule type="cellIs" dxfId="1" priority="892" operator="equal">
      <formula>ر</formula>
    </cfRule>
  </conditionalFormatting>
  <conditionalFormatting sqref="D208:D212">
    <cfRule type="cellIs" dxfId="1" priority="914" operator="equal">
      <formula>ر</formula>
    </cfRule>
  </conditionalFormatting>
  <conditionalFormatting sqref="D20:D24">
    <cfRule type="cellIs" dxfId="1" priority="114" operator="equal">
      <formula>ر</formula>
    </cfRule>
  </conditionalFormatting>
  <conditionalFormatting sqref="D211:D215">
    <cfRule type="cellIs" dxfId="1" priority="936" operator="equal">
      <formula>ر</formula>
    </cfRule>
  </conditionalFormatting>
  <conditionalFormatting sqref="D214:D218">
    <cfRule type="cellIs" dxfId="1" priority="958" operator="equal">
      <formula>ر</formula>
    </cfRule>
  </conditionalFormatting>
  <conditionalFormatting sqref="D217:D221">
    <cfRule type="cellIs" dxfId="1" priority="980" operator="equal">
      <formula>ر</formula>
    </cfRule>
  </conditionalFormatting>
  <conditionalFormatting sqref="D220:D224">
    <cfRule type="cellIs" dxfId="1" priority="1002" operator="equal">
      <formula>ر</formula>
    </cfRule>
  </conditionalFormatting>
  <conditionalFormatting sqref="D223:D227">
    <cfRule type="cellIs" dxfId="1" priority="1024" operator="equal">
      <formula>ر</formula>
    </cfRule>
  </conditionalFormatting>
  <conditionalFormatting sqref="D226:D230">
    <cfRule type="cellIs" dxfId="1" priority="1046" operator="equal">
      <formula>ر</formula>
    </cfRule>
  </conditionalFormatting>
  <conditionalFormatting sqref="D229:D233">
    <cfRule type="cellIs" dxfId="1" priority="1068" operator="equal">
      <formula>ر</formula>
    </cfRule>
  </conditionalFormatting>
  <conditionalFormatting sqref="D232:D236">
    <cfRule type="cellIs" dxfId="1" priority="1090" operator="equal">
      <formula>ر</formula>
    </cfRule>
  </conditionalFormatting>
  <conditionalFormatting sqref="D23:D27">
    <cfRule type="cellIs" dxfId="1" priority="136" operator="equal">
      <formula>ر</formula>
    </cfRule>
  </conditionalFormatting>
  <conditionalFormatting sqref="D26:D30">
    <cfRule type="cellIs" dxfId="1" priority="158" operator="equal">
      <formula>ر</formula>
    </cfRule>
  </conditionalFormatting>
  <conditionalFormatting sqref="D29:D33">
    <cfRule type="cellIs" dxfId="1" priority="180" operator="equal">
      <formula>ر</formula>
    </cfRule>
  </conditionalFormatting>
  <conditionalFormatting sqref="D32:D36">
    <cfRule type="cellIs" dxfId="1" priority="202" operator="equal">
      <formula>ر</formula>
    </cfRule>
  </conditionalFormatting>
  <conditionalFormatting sqref="D55:D59">
    <cfRule type="cellIs" dxfId="1" priority="226" operator="equal">
      <formula>ر</formula>
    </cfRule>
  </conditionalFormatting>
  <conditionalFormatting sqref="D58:D62">
    <cfRule type="cellIs" dxfId="1" priority="248" operator="equal">
      <formula>ر</formula>
    </cfRule>
  </conditionalFormatting>
  <conditionalFormatting sqref="D5:D9">
    <cfRule type="cellIs" dxfId="1" priority="4" operator="equal">
      <formula>ر</formula>
    </cfRule>
  </conditionalFormatting>
  <conditionalFormatting sqref="D61:D65">
    <cfRule type="cellIs" dxfId="1" priority="270" operator="equal">
      <formula>ر</formula>
    </cfRule>
  </conditionalFormatting>
  <conditionalFormatting sqref="D64:D68">
    <cfRule type="cellIs" dxfId="1" priority="292" operator="equal">
      <formula>ر</formula>
    </cfRule>
  </conditionalFormatting>
  <conditionalFormatting sqref="D67:D71">
    <cfRule type="cellIs" dxfId="1" priority="314" operator="equal">
      <formula>ر</formula>
    </cfRule>
  </conditionalFormatting>
  <conditionalFormatting sqref="D70:D74">
    <cfRule type="cellIs" dxfId="1" priority="336" operator="equal">
      <formula>ر</formula>
    </cfRule>
  </conditionalFormatting>
  <conditionalFormatting sqref="D73:D77">
    <cfRule type="cellIs" dxfId="1" priority="358" operator="equal">
      <formula>ر</formula>
    </cfRule>
  </conditionalFormatting>
  <conditionalFormatting sqref="D76:D80">
    <cfRule type="cellIs" dxfId="1" priority="380" operator="equal">
      <formula>ر</formula>
    </cfRule>
  </conditionalFormatting>
  <conditionalFormatting sqref="D79:D83">
    <cfRule type="cellIs" dxfId="1" priority="402" operator="equal">
      <formula>ر</formula>
    </cfRule>
  </conditionalFormatting>
  <conditionalFormatting sqref="D82:D86">
    <cfRule type="cellIs" dxfId="1" priority="424" operator="equal">
      <formula>ر</formula>
    </cfRule>
  </conditionalFormatting>
  <conditionalFormatting sqref="D8:D12">
    <cfRule type="cellIs" dxfId="1" priority="26" operator="equal">
      <formula>ر</formula>
    </cfRule>
  </conditionalFormatting>
  <conditionalFormatting sqref="E105:E109">
    <cfRule type="cellIs" dxfId="1" priority="447" operator="lessThan">
      <formula>50</formula>
    </cfRule>
  </conditionalFormatting>
  <conditionalFormatting sqref="E108:E112">
    <cfRule type="cellIs" dxfId="1" priority="469" operator="lessThan">
      <formula>50</formula>
    </cfRule>
  </conditionalFormatting>
  <conditionalFormatting sqref="E111:E115">
    <cfRule type="cellIs" dxfId="1" priority="491" operator="lessThan">
      <formula>50</formula>
    </cfRule>
  </conditionalFormatting>
  <conditionalFormatting sqref="E114:E118">
    <cfRule type="cellIs" dxfId="1" priority="513" operator="lessThan">
      <formula>50</formula>
    </cfRule>
  </conditionalFormatting>
  <conditionalFormatting sqref="E117:E121">
    <cfRule type="cellIs" dxfId="1" priority="535" operator="lessThan">
      <formula>50</formula>
    </cfRule>
  </conditionalFormatting>
  <conditionalFormatting sqref="E11:E15">
    <cfRule type="cellIs" dxfId="1" priority="47" operator="lessThan">
      <formula>50</formula>
    </cfRule>
  </conditionalFormatting>
  <conditionalFormatting sqref="E120:E124">
    <cfRule type="cellIs" dxfId="1" priority="557" operator="lessThan">
      <formula>50</formula>
    </cfRule>
  </conditionalFormatting>
  <conditionalFormatting sqref="E123:E127">
    <cfRule type="cellIs" dxfId="1" priority="579" operator="lessThan">
      <formula>50</formula>
    </cfRule>
  </conditionalFormatting>
  <conditionalFormatting sqref="E126:E130">
    <cfRule type="cellIs" dxfId="1" priority="601" operator="lessThan">
      <formula>50</formula>
    </cfRule>
  </conditionalFormatting>
  <conditionalFormatting sqref="E129:E133">
    <cfRule type="cellIs" dxfId="1" priority="623" operator="lessThan">
      <formula>50</formula>
    </cfRule>
  </conditionalFormatting>
  <conditionalFormatting sqref="E132:E136">
    <cfRule type="cellIs" dxfId="1" priority="645" operator="lessThan">
      <formula>50</formula>
    </cfRule>
  </conditionalFormatting>
  <conditionalFormatting sqref="E14:E18">
    <cfRule type="cellIs" dxfId="1" priority="69" operator="lessThan">
      <formula>50</formula>
    </cfRule>
  </conditionalFormatting>
  <conditionalFormatting sqref="E155:E159">
    <cfRule type="cellIs" dxfId="1" priority="669" operator="lessThan">
      <formula>50</formula>
    </cfRule>
  </conditionalFormatting>
  <conditionalFormatting sqref="E158:E162">
    <cfRule type="cellIs" dxfId="1" priority="691" operator="lessThan">
      <formula>50</formula>
    </cfRule>
  </conditionalFormatting>
  <conditionalFormatting sqref="E161:E165">
    <cfRule type="cellIs" dxfId="1" priority="713" operator="lessThan">
      <formula>50</formula>
    </cfRule>
  </conditionalFormatting>
  <conditionalFormatting sqref="E164:E168">
    <cfRule type="cellIs" dxfId="1" priority="735" operator="lessThan">
      <formula>50</formula>
    </cfRule>
  </conditionalFormatting>
  <conditionalFormatting sqref="E167:E171">
    <cfRule type="cellIs" dxfId="1" priority="757" operator="lessThan">
      <formula>50</formula>
    </cfRule>
  </conditionalFormatting>
  <conditionalFormatting sqref="E170:E174">
    <cfRule type="cellIs" dxfId="1" priority="779" operator="lessThan">
      <formula>50</formula>
    </cfRule>
  </conditionalFormatting>
  <conditionalFormatting sqref="E173:E177">
    <cfRule type="cellIs" dxfId="1" priority="801" operator="lessThan">
      <formula>50</formula>
    </cfRule>
  </conditionalFormatting>
  <conditionalFormatting sqref="E176:E180">
    <cfRule type="cellIs" dxfId="1" priority="823" operator="lessThan">
      <formula>50</formula>
    </cfRule>
  </conditionalFormatting>
  <conditionalFormatting sqref="E179:E183">
    <cfRule type="cellIs" dxfId="1" priority="845" operator="lessThan">
      <formula>50</formula>
    </cfRule>
  </conditionalFormatting>
  <conditionalFormatting sqref="E17:E21">
    <cfRule type="cellIs" dxfId="1" priority="91" operator="lessThan">
      <formula>50</formula>
    </cfRule>
  </conditionalFormatting>
  <conditionalFormatting sqref="E182:E186">
    <cfRule type="cellIs" dxfId="1" priority="867" operator="lessThan">
      <formula>50</formula>
    </cfRule>
  </conditionalFormatting>
  <conditionalFormatting sqref="E205:E209">
    <cfRule type="cellIs" dxfId="1" priority="891" operator="lessThan">
      <formula>50</formula>
    </cfRule>
  </conditionalFormatting>
  <conditionalFormatting sqref="E208:E212">
    <cfRule type="cellIs" dxfId="1" priority="913" operator="lessThan">
      <formula>50</formula>
    </cfRule>
  </conditionalFormatting>
  <conditionalFormatting sqref="E20:E24">
    <cfRule type="cellIs" dxfId="1" priority="113" operator="lessThan">
      <formula>50</formula>
    </cfRule>
  </conditionalFormatting>
  <conditionalFormatting sqref="E211:E215">
    <cfRule type="cellIs" dxfId="1" priority="935" operator="lessThan">
      <formula>50</formula>
    </cfRule>
  </conditionalFormatting>
  <conditionalFormatting sqref="E214:E218">
    <cfRule type="cellIs" dxfId="1" priority="957" operator="lessThan">
      <formula>50</formula>
    </cfRule>
  </conditionalFormatting>
  <conditionalFormatting sqref="E217:E221">
    <cfRule type="cellIs" dxfId="1" priority="979" operator="lessThan">
      <formula>50</formula>
    </cfRule>
  </conditionalFormatting>
  <conditionalFormatting sqref="E220:E224">
    <cfRule type="cellIs" dxfId="1" priority="1001" operator="lessThan">
      <formula>50</formula>
    </cfRule>
  </conditionalFormatting>
  <conditionalFormatting sqref="E223:E227">
    <cfRule type="cellIs" dxfId="1" priority="1023" operator="lessThan">
      <formula>50</formula>
    </cfRule>
  </conditionalFormatting>
  <conditionalFormatting sqref="E226:E230">
    <cfRule type="cellIs" dxfId="1" priority="1045" operator="lessThan">
      <formula>50</formula>
    </cfRule>
  </conditionalFormatting>
  <conditionalFormatting sqref="E229:E233">
    <cfRule type="cellIs" dxfId="1" priority="1067" operator="lessThan">
      <formula>50</formula>
    </cfRule>
  </conditionalFormatting>
  <conditionalFormatting sqref="E232:E236">
    <cfRule type="cellIs" dxfId="1" priority="1089" operator="lessThan">
      <formula>50</formula>
    </cfRule>
  </conditionalFormatting>
  <conditionalFormatting sqref="E23:E27">
    <cfRule type="cellIs" dxfId="1" priority="135" operator="lessThan">
      <formula>50</formula>
    </cfRule>
  </conditionalFormatting>
  <conditionalFormatting sqref="E26:E30">
    <cfRule type="cellIs" dxfId="1" priority="157" operator="lessThan">
      <formula>50</formula>
    </cfRule>
  </conditionalFormatting>
  <conditionalFormatting sqref="E29:E33">
    <cfRule type="cellIs" dxfId="1" priority="179" operator="lessThan">
      <formula>50</formula>
    </cfRule>
  </conditionalFormatting>
  <conditionalFormatting sqref="E32:E36">
    <cfRule type="cellIs" dxfId="1" priority="201" operator="lessThan">
      <formula>50</formula>
    </cfRule>
  </conditionalFormatting>
  <conditionalFormatting sqref="E55:E59">
    <cfRule type="cellIs" dxfId="1" priority="225" operator="lessThan">
      <formula>50</formula>
    </cfRule>
  </conditionalFormatting>
  <conditionalFormatting sqref="E58:E62">
    <cfRule type="cellIs" dxfId="1" priority="247" operator="lessThan">
      <formula>50</formula>
    </cfRule>
  </conditionalFormatting>
  <conditionalFormatting sqref="E5:E9">
    <cfRule type="cellIs" dxfId="1" priority="3" operator="lessThan">
      <formula>50</formula>
    </cfRule>
  </conditionalFormatting>
  <conditionalFormatting sqref="E61:E65">
    <cfRule type="cellIs" dxfId="1" priority="269" operator="lessThan">
      <formula>50</formula>
    </cfRule>
  </conditionalFormatting>
  <conditionalFormatting sqref="E64:E68">
    <cfRule type="cellIs" dxfId="1" priority="291" operator="lessThan">
      <formula>50</formula>
    </cfRule>
  </conditionalFormatting>
  <conditionalFormatting sqref="E67:E71">
    <cfRule type="cellIs" dxfId="1" priority="313" operator="lessThan">
      <formula>50</formula>
    </cfRule>
  </conditionalFormatting>
  <conditionalFormatting sqref="E70:E74">
    <cfRule type="cellIs" dxfId="1" priority="335" operator="lessThan">
      <formula>50</formula>
    </cfRule>
  </conditionalFormatting>
  <conditionalFormatting sqref="E73:E77">
    <cfRule type="cellIs" dxfId="1" priority="357" operator="lessThan">
      <formula>50</formula>
    </cfRule>
  </conditionalFormatting>
  <conditionalFormatting sqref="E76:E80">
    <cfRule type="cellIs" dxfId="1" priority="379" operator="lessThan">
      <formula>50</formula>
    </cfRule>
  </conditionalFormatting>
  <conditionalFormatting sqref="E79:E83">
    <cfRule type="cellIs" dxfId="1" priority="401" operator="lessThan">
      <formula>50</formula>
    </cfRule>
  </conditionalFormatting>
  <conditionalFormatting sqref="E82:E86">
    <cfRule type="cellIs" dxfId="1" priority="423" operator="lessThan">
      <formula>50</formula>
    </cfRule>
  </conditionalFormatting>
  <conditionalFormatting sqref="E8:E12">
    <cfRule type="cellIs" dxfId="1" priority="25" operator="lessThan">
      <formula>50</formula>
    </cfRule>
  </conditionalFormatting>
  <conditionalFormatting sqref="F105:F109">
    <cfRule type="cellIs" dxfId="1" priority="450" operator="equal">
      <formula>ر</formula>
    </cfRule>
  </conditionalFormatting>
  <conditionalFormatting sqref="F108:F112">
    <cfRule type="cellIs" dxfId="1" priority="472" operator="equal">
      <formula>ر</formula>
    </cfRule>
  </conditionalFormatting>
  <conditionalFormatting sqref="F111:F115">
    <cfRule type="cellIs" dxfId="1" priority="494" operator="equal">
      <formula>ر</formula>
    </cfRule>
  </conditionalFormatting>
  <conditionalFormatting sqref="F114:F118">
    <cfRule type="cellIs" dxfId="1" priority="516" operator="equal">
      <formula>ر</formula>
    </cfRule>
  </conditionalFormatting>
  <conditionalFormatting sqref="F117:F121">
    <cfRule type="cellIs" dxfId="1" priority="538" operator="equal">
      <formula>ر</formula>
    </cfRule>
  </conditionalFormatting>
  <conditionalFormatting sqref="F11:F15">
    <cfRule type="cellIs" dxfId="1" priority="50" operator="equal">
      <formula>ر</formula>
    </cfRule>
  </conditionalFormatting>
  <conditionalFormatting sqref="F120:F124">
    <cfRule type="cellIs" dxfId="1" priority="560" operator="equal">
      <formula>ر</formula>
    </cfRule>
  </conditionalFormatting>
  <conditionalFormatting sqref="F123:F127">
    <cfRule type="cellIs" dxfId="1" priority="582" operator="equal">
      <formula>ر</formula>
    </cfRule>
  </conditionalFormatting>
  <conditionalFormatting sqref="F126:F130">
    <cfRule type="cellIs" dxfId="1" priority="604" operator="equal">
      <formula>ر</formula>
    </cfRule>
  </conditionalFormatting>
  <conditionalFormatting sqref="F129:F133">
    <cfRule type="cellIs" dxfId="1" priority="626" operator="equal">
      <formula>ر</formula>
    </cfRule>
  </conditionalFormatting>
  <conditionalFormatting sqref="F132:F136">
    <cfRule type="cellIs" dxfId="1" priority="648" operator="equal">
      <formula>ر</formula>
    </cfRule>
  </conditionalFormatting>
  <conditionalFormatting sqref="F14:F18">
    <cfRule type="cellIs" dxfId="1" priority="72" operator="equal">
      <formula>ر</formula>
    </cfRule>
  </conditionalFormatting>
  <conditionalFormatting sqref="F155:F159">
    <cfRule type="cellIs" dxfId="1" priority="672" operator="equal">
      <formula>ر</formula>
    </cfRule>
  </conditionalFormatting>
  <conditionalFormatting sqref="F158:F162">
    <cfRule type="cellIs" dxfId="1" priority="694" operator="equal">
      <formula>ر</formula>
    </cfRule>
  </conditionalFormatting>
  <conditionalFormatting sqref="F161:F165">
    <cfRule type="cellIs" dxfId="1" priority="716" operator="equal">
      <formula>ر</formula>
    </cfRule>
  </conditionalFormatting>
  <conditionalFormatting sqref="F164:F168">
    <cfRule type="cellIs" dxfId="1" priority="738" operator="equal">
      <formula>ر</formula>
    </cfRule>
  </conditionalFormatting>
  <conditionalFormatting sqref="F167:F171">
    <cfRule type="cellIs" dxfId="1" priority="760" operator="equal">
      <formula>ر</formula>
    </cfRule>
  </conditionalFormatting>
  <conditionalFormatting sqref="F170:F174">
    <cfRule type="cellIs" dxfId="1" priority="782" operator="equal">
      <formula>ر</formula>
    </cfRule>
  </conditionalFormatting>
  <conditionalFormatting sqref="F173:F177">
    <cfRule type="cellIs" dxfId="1" priority="804" operator="equal">
      <formula>ر</formula>
    </cfRule>
  </conditionalFormatting>
  <conditionalFormatting sqref="F176:F180">
    <cfRule type="cellIs" dxfId="1" priority="826" operator="equal">
      <formula>ر</formula>
    </cfRule>
  </conditionalFormatting>
  <conditionalFormatting sqref="F179:F183">
    <cfRule type="cellIs" dxfId="1" priority="848" operator="equal">
      <formula>ر</formula>
    </cfRule>
  </conditionalFormatting>
  <conditionalFormatting sqref="F17:F21">
    <cfRule type="cellIs" dxfId="1" priority="94" operator="equal">
      <formula>ر</formula>
    </cfRule>
  </conditionalFormatting>
  <conditionalFormatting sqref="F182:F186">
    <cfRule type="cellIs" dxfId="1" priority="870" operator="equal">
      <formula>ر</formula>
    </cfRule>
  </conditionalFormatting>
  <conditionalFormatting sqref="F205:F209">
    <cfRule type="cellIs" dxfId="1" priority="894" operator="equal">
      <formula>ر</formula>
    </cfRule>
  </conditionalFormatting>
  <conditionalFormatting sqref="F208:F212">
    <cfRule type="cellIs" dxfId="1" priority="916" operator="equal">
      <formula>ر</formula>
    </cfRule>
  </conditionalFormatting>
  <conditionalFormatting sqref="F20:F24">
    <cfRule type="cellIs" dxfId="1" priority="116" operator="equal">
      <formula>ر</formula>
    </cfRule>
  </conditionalFormatting>
  <conditionalFormatting sqref="F211:F215">
    <cfRule type="cellIs" dxfId="1" priority="938" operator="equal">
      <formula>ر</formula>
    </cfRule>
  </conditionalFormatting>
  <conditionalFormatting sqref="F214:F218">
    <cfRule type="cellIs" dxfId="1" priority="960" operator="equal">
      <formula>ر</formula>
    </cfRule>
  </conditionalFormatting>
  <conditionalFormatting sqref="F217:F221">
    <cfRule type="cellIs" dxfId="1" priority="982" operator="equal">
      <formula>ر</formula>
    </cfRule>
  </conditionalFormatting>
  <conditionalFormatting sqref="F220:F224">
    <cfRule type="cellIs" dxfId="1" priority="1004" operator="equal">
      <formula>ر</formula>
    </cfRule>
  </conditionalFormatting>
  <conditionalFormatting sqref="F223:F227">
    <cfRule type="cellIs" dxfId="1" priority="1026" operator="equal">
      <formula>ر</formula>
    </cfRule>
  </conditionalFormatting>
  <conditionalFormatting sqref="F226:F230">
    <cfRule type="cellIs" dxfId="1" priority="1048" operator="equal">
      <formula>ر</formula>
    </cfRule>
  </conditionalFormatting>
  <conditionalFormatting sqref="F229:F233">
    <cfRule type="cellIs" dxfId="1" priority="1070" operator="equal">
      <formula>ر</formula>
    </cfRule>
  </conditionalFormatting>
  <conditionalFormatting sqref="F232:F236">
    <cfRule type="cellIs" dxfId="1" priority="1092" operator="equal">
      <formula>ر</formula>
    </cfRule>
  </conditionalFormatting>
  <conditionalFormatting sqref="F23:F27">
    <cfRule type="cellIs" dxfId="1" priority="138" operator="equal">
      <formula>ر</formula>
    </cfRule>
  </conditionalFormatting>
  <conditionalFormatting sqref="F26:F30">
    <cfRule type="cellIs" dxfId="1" priority="160" operator="equal">
      <formula>ر</formula>
    </cfRule>
  </conditionalFormatting>
  <conditionalFormatting sqref="F29:F33">
    <cfRule type="cellIs" dxfId="1" priority="182" operator="equal">
      <formula>ر</formula>
    </cfRule>
  </conditionalFormatting>
  <conditionalFormatting sqref="F32:F36">
    <cfRule type="cellIs" dxfId="1" priority="204" operator="equal">
      <formula>ر</formula>
    </cfRule>
  </conditionalFormatting>
  <conditionalFormatting sqref="F55:F59">
    <cfRule type="cellIs" dxfId="1" priority="228" operator="equal">
      <formula>ر</formula>
    </cfRule>
  </conditionalFormatting>
  <conditionalFormatting sqref="F58:F62">
    <cfRule type="cellIs" dxfId="1" priority="250" operator="equal">
      <formula>ر</formula>
    </cfRule>
  </conditionalFormatting>
  <conditionalFormatting sqref="F5:F9">
    <cfRule type="cellIs" dxfId="1" priority="6" operator="equal">
      <formula>ر</formula>
    </cfRule>
  </conditionalFormatting>
  <conditionalFormatting sqref="F61:F65">
    <cfRule type="cellIs" dxfId="1" priority="272" operator="equal">
      <formula>ر</formula>
    </cfRule>
  </conditionalFormatting>
  <conditionalFormatting sqref="F64:F68">
    <cfRule type="cellIs" dxfId="1" priority="294" operator="equal">
      <formula>ر</formula>
    </cfRule>
  </conditionalFormatting>
  <conditionalFormatting sqref="F67:F71">
    <cfRule type="cellIs" dxfId="1" priority="316" operator="equal">
      <formula>ر</formula>
    </cfRule>
  </conditionalFormatting>
  <conditionalFormatting sqref="F70:F74">
    <cfRule type="cellIs" dxfId="1" priority="338" operator="equal">
      <formula>ر</formula>
    </cfRule>
  </conditionalFormatting>
  <conditionalFormatting sqref="F73:F77">
    <cfRule type="cellIs" dxfId="1" priority="360" operator="equal">
      <formula>ر</formula>
    </cfRule>
  </conditionalFormatting>
  <conditionalFormatting sqref="F76:F80">
    <cfRule type="cellIs" dxfId="1" priority="382" operator="equal">
      <formula>ر</formula>
    </cfRule>
  </conditionalFormatting>
  <conditionalFormatting sqref="F79:F83">
    <cfRule type="cellIs" dxfId="1" priority="404" operator="equal">
      <formula>ر</formula>
    </cfRule>
  </conditionalFormatting>
  <conditionalFormatting sqref="F82:F86">
    <cfRule type="cellIs" dxfId="1" priority="426" operator="equal">
      <formula>ر</formula>
    </cfRule>
  </conditionalFormatting>
  <conditionalFormatting sqref="F8:F12">
    <cfRule type="cellIs" dxfId="1" priority="28" operator="equal">
      <formula>ر</formula>
    </cfRule>
  </conditionalFormatting>
  <conditionalFormatting sqref="G105:G109">
    <cfRule type="cellIs" dxfId="1" priority="449" operator="lessThan">
      <formula>50</formula>
    </cfRule>
  </conditionalFormatting>
  <conditionalFormatting sqref="G108:G112">
    <cfRule type="cellIs" dxfId="1" priority="471" operator="lessThan">
      <formula>50</formula>
    </cfRule>
  </conditionalFormatting>
  <conditionalFormatting sqref="G111:G115">
    <cfRule type="cellIs" dxfId="1" priority="493" operator="lessThan">
      <formula>50</formula>
    </cfRule>
  </conditionalFormatting>
  <conditionalFormatting sqref="G114:G118">
    <cfRule type="cellIs" dxfId="1" priority="515" operator="lessThan">
      <formula>50</formula>
    </cfRule>
  </conditionalFormatting>
  <conditionalFormatting sqref="G117:G121">
    <cfRule type="cellIs" dxfId="1" priority="537" operator="lessThan">
      <formula>50</formula>
    </cfRule>
  </conditionalFormatting>
  <conditionalFormatting sqref="G11:G15">
    <cfRule type="cellIs" dxfId="1" priority="49" operator="lessThan">
      <formula>50</formula>
    </cfRule>
  </conditionalFormatting>
  <conditionalFormatting sqref="G120:G124">
    <cfRule type="cellIs" dxfId="1" priority="559" operator="lessThan">
      <formula>50</formula>
    </cfRule>
  </conditionalFormatting>
  <conditionalFormatting sqref="G123:G127">
    <cfRule type="cellIs" dxfId="1" priority="581" operator="lessThan">
      <formula>50</formula>
    </cfRule>
  </conditionalFormatting>
  <conditionalFormatting sqref="G126:G130">
    <cfRule type="cellIs" dxfId="1" priority="603" operator="lessThan">
      <formula>50</formula>
    </cfRule>
  </conditionalFormatting>
  <conditionalFormatting sqref="G129:G133">
    <cfRule type="cellIs" dxfId="1" priority="625" operator="lessThan">
      <formula>50</formula>
    </cfRule>
  </conditionalFormatting>
  <conditionalFormatting sqref="G132:G136">
    <cfRule type="cellIs" dxfId="1" priority="647" operator="lessThan">
      <formula>50</formula>
    </cfRule>
  </conditionalFormatting>
  <conditionalFormatting sqref="G14:G18">
    <cfRule type="cellIs" dxfId="1" priority="71" operator="lessThan">
      <formula>50</formula>
    </cfRule>
  </conditionalFormatting>
  <conditionalFormatting sqref="G155:G159">
    <cfRule type="cellIs" dxfId="1" priority="671" operator="lessThan">
      <formula>50</formula>
    </cfRule>
  </conditionalFormatting>
  <conditionalFormatting sqref="G158:G162">
    <cfRule type="cellIs" dxfId="1" priority="693" operator="lessThan">
      <formula>50</formula>
    </cfRule>
  </conditionalFormatting>
  <conditionalFormatting sqref="G161:G165">
    <cfRule type="cellIs" dxfId="1" priority="715" operator="lessThan">
      <formula>50</formula>
    </cfRule>
  </conditionalFormatting>
  <conditionalFormatting sqref="G164:G168">
    <cfRule type="cellIs" dxfId="1" priority="737" operator="lessThan">
      <formula>50</formula>
    </cfRule>
  </conditionalFormatting>
  <conditionalFormatting sqref="G167:G171">
    <cfRule type="cellIs" dxfId="1" priority="759" operator="lessThan">
      <formula>50</formula>
    </cfRule>
  </conditionalFormatting>
  <conditionalFormatting sqref="G170:G174">
    <cfRule type="cellIs" dxfId="1" priority="781" operator="lessThan">
      <formula>50</formula>
    </cfRule>
  </conditionalFormatting>
  <conditionalFormatting sqref="G173:G177">
    <cfRule type="cellIs" dxfId="1" priority="803" operator="lessThan">
      <formula>50</formula>
    </cfRule>
  </conditionalFormatting>
  <conditionalFormatting sqref="G176:G180">
    <cfRule type="cellIs" dxfId="1" priority="825" operator="lessThan">
      <formula>50</formula>
    </cfRule>
  </conditionalFormatting>
  <conditionalFormatting sqref="G179:G183">
    <cfRule type="cellIs" dxfId="1" priority="847" operator="lessThan">
      <formula>50</formula>
    </cfRule>
  </conditionalFormatting>
  <conditionalFormatting sqref="G17:G21">
    <cfRule type="cellIs" dxfId="1" priority="93" operator="lessThan">
      <formula>50</formula>
    </cfRule>
  </conditionalFormatting>
  <conditionalFormatting sqref="G182:G186">
    <cfRule type="cellIs" dxfId="1" priority="869" operator="lessThan">
      <formula>50</formula>
    </cfRule>
  </conditionalFormatting>
  <conditionalFormatting sqref="G205:G209">
    <cfRule type="cellIs" dxfId="1" priority="893" operator="lessThan">
      <formula>50</formula>
    </cfRule>
  </conditionalFormatting>
  <conditionalFormatting sqref="G208:G212">
    <cfRule type="cellIs" dxfId="1" priority="915" operator="lessThan">
      <formula>50</formula>
    </cfRule>
  </conditionalFormatting>
  <conditionalFormatting sqref="G20:G24">
    <cfRule type="cellIs" dxfId="1" priority="115" operator="lessThan">
      <formula>50</formula>
    </cfRule>
  </conditionalFormatting>
  <conditionalFormatting sqref="G211:G215">
    <cfRule type="cellIs" dxfId="1" priority="937" operator="lessThan">
      <formula>50</formula>
    </cfRule>
  </conditionalFormatting>
  <conditionalFormatting sqref="G214:G218">
    <cfRule type="cellIs" dxfId="1" priority="959" operator="lessThan">
      <formula>50</formula>
    </cfRule>
  </conditionalFormatting>
  <conditionalFormatting sqref="G217:G221">
    <cfRule type="cellIs" dxfId="1" priority="981" operator="lessThan">
      <formula>50</formula>
    </cfRule>
  </conditionalFormatting>
  <conditionalFormatting sqref="G220:G224">
    <cfRule type="cellIs" dxfId="1" priority="1003" operator="lessThan">
      <formula>50</formula>
    </cfRule>
  </conditionalFormatting>
  <conditionalFormatting sqref="G223:G227">
    <cfRule type="cellIs" dxfId="1" priority="1025" operator="lessThan">
      <formula>50</formula>
    </cfRule>
  </conditionalFormatting>
  <conditionalFormatting sqref="G226:G230">
    <cfRule type="cellIs" dxfId="1" priority="1047" operator="lessThan">
      <formula>50</formula>
    </cfRule>
  </conditionalFormatting>
  <conditionalFormatting sqref="G229:G233">
    <cfRule type="cellIs" dxfId="1" priority="1069" operator="lessThan">
      <formula>50</formula>
    </cfRule>
  </conditionalFormatting>
  <conditionalFormatting sqref="G232:G236">
    <cfRule type="cellIs" dxfId="1" priority="1091" operator="lessThan">
      <formula>50</formula>
    </cfRule>
  </conditionalFormatting>
  <conditionalFormatting sqref="G23:G27">
    <cfRule type="cellIs" dxfId="1" priority="137" operator="lessThan">
      <formula>50</formula>
    </cfRule>
  </conditionalFormatting>
  <conditionalFormatting sqref="G26:G30">
    <cfRule type="cellIs" dxfId="1" priority="159" operator="lessThan">
      <formula>50</formula>
    </cfRule>
  </conditionalFormatting>
  <conditionalFormatting sqref="G29:G33">
    <cfRule type="cellIs" dxfId="1" priority="181" operator="lessThan">
      <formula>50</formula>
    </cfRule>
  </conditionalFormatting>
  <conditionalFormatting sqref="G32:G36">
    <cfRule type="cellIs" dxfId="1" priority="203" operator="lessThan">
      <formula>50</formula>
    </cfRule>
  </conditionalFormatting>
  <conditionalFormatting sqref="G55:G59">
    <cfRule type="cellIs" dxfId="1" priority="227" operator="lessThan">
      <formula>50</formula>
    </cfRule>
  </conditionalFormatting>
  <conditionalFormatting sqref="G58:G62">
    <cfRule type="cellIs" dxfId="1" priority="249" operator="lessThan">
      <formula>50</formula>
    </cfRule>
  </conditionalFormatting>
  <conditionalFormatting sqref="G5:G9">
    <cfRule type="cellIs" dxfId="1" priority="5" operator="lessThan">
      <formula>50</formula>
    </cfRule>
  </conditionalFormatting>
  <conditionalFormatting sqref="G61:G65">
    <cfRule type="cellIs" dxfId="1" priority="271" operator="lessThan">
      <formula>50</formula>
    </cfRule>
  </conditionalFormatting>
  <conditionalFormatting sqref="G64:G68">
    <cfRule type="cellIs" dxfId="1" priority="293" operator="lessThan">
      <formula>50</formula>
    </cfRule>
  </conditionalFormatting>
  <conditionalFormatting sqref="G67:G71">
    <cfRule type="cellIs" dxfId="1" priority="315" operator="lessThan">
      <formula>50</formula>
    </cfRule>
  </conditionalFormatting>
  <conditionalFormatting sqref="G70:G74">
    <cfRule type="cellIs" dxfId="1" priority="337" operator="lessThan">
      <formula>50</formula>
    </cfRule>
  </conditionalFormatting>
  <conditionalFormatting sqref="G73:G77">
    <cfRule type="cellIs" dxfId="1" priority="359" operator="lessThan">
      <formula>50</formula>
    </cfRule>
  </conditionalFormatting>
  <conditionalFormatting sqref="G76:G80">
    <cfRule type="cellIs" dxfId="1" priority="381" operator="lessThan">
      <formula>50</formula>
    </cfRule>
  </conditionalFormatting>
  <conditionalFormatting sqref="G79:G83">
    <cfRule type="cellIs" dxfId="1" priority="403" operator="lessThan">
      <formula>50</formula>
    </cfRule>
  </conditionalFormatting>
  <conditionalFormatting sqref="G82:G86">
    <cfRule type="cellIs" dxfId="1" priority="425" operator="lessThan">
      <formula>50</formula>
    </cfRule>
  </conditionalFormatting>
  <conditionalFormatting sqref="G8:G12">
    <cfRule type="cellIs" dxfId="1" priority="27" operator="lessThan">
      <formula>50</formula>
    </cfRule>
  </conditionalFormatting>
  <conditionalFormatting sqref="H105:H109">
    <cfRule type="cellIs" dxfId="1" priority="452" operator="equal">
      <formula>ر</formula>
    </cfRule>
  </conditionalFormatting>
  <conditionalFormatting sqref="H108:H112">
    <cfRule type="cellIs" dxfId="1" priority="474" operator="equal">
      <formula>ر</formula>
    </cfRule>
  </conditionalFormatting>
  <conditionalFormatting sqref="H111:H115">
    <cfRule type="cellIs" dxfId="1" priority="496" operator="equal">
      <formula>ر</formula>
    </cfRule>
  </conditionalFormatting>
  <conditionalFormatting sqref="H114:H118">
    <cfRule type="cellIs" dxfId="1" priority="518" operator="equal">
      <formula>ر</formula>
    </cfRule>
  </conditionalFormatting>
  <conditionalFormatting sqref="H117:H121">
    <cfRule type="cellIs" dxfId="1" priority="540" operator="equal">
      <formula>ر</formula>
    </cfRule>
  </conditionalFormatting>
  <conditionalFormatting sqref="H11:H15">
    <cfRule type="cellIs" dxfId="1" priority="52" operator="equal">
      <formula>ر</formula>
    </cfRule>
  </conditionalFormatting>
  <conditionalFormatting sqref="H120:H124">
    <cfRule type="cellIs" dxfId="1" priority="562" operator="equal">
      <formula>ر</formula>
    </cfRule>
  </conditionalFormatting>
  <conditionalFormatting sqref="H123:H127">
    <cfRule type="cellIs" dxfId="1" priority="584" operator="equal">
      <formula>ر</formula>
    </cfRule>
  </conditionalFormatting>
  <conditionalFormatting sqref="H126:H130">
    <cfRule type="cellIs" dxfId="1" priority="606" operator="equal">
      <formula>ر</formula>
    </cfRule>
  </conditionalFormatting>
  <conditionalFormatting sqref="H129:H133">
    <cfRule type="cellIs" dxfId="1" priority="628" operator="equal">
      <formula>ر</formula>
    </cfRule>
  </conditionalFormatting>
  <conditionalFormatting sqref="H132:H136">
    <cfRule type="cellIs" dxfId="1" priority="650" operator="equal">
      <formula>ر</formula>
    </cfRule>
  </conditionalFormatting>
  <conditionalFormatting sqref="H14:H18">
    <cfRule type="cellIs" dxfId="1" priority="74" operator="equal">
      <formula>ر</formula>
    </cfRule>
  </conditionalFormatting>
  <conditionalFormatting sqref="H155:H159">
    <cfRule type="cellIs" dxfId="1" priority="674" operator="equal">
      <formula>ر</formula>
    </cfRule>
  </conditionalFormatting>
  <conditionalFormatting sqref="H158:H162">
    <cfRule type="cellIs" dxfId="1" priority="696" operator="equal">
      <formula>ر</formula>
    </cfRule>
  </conditionalFormatting>
  <conditionalFormatting sqref="H161:H165">
    <cfRule type="cellIs" dxfId="1" priority="718" operator="equal">
      <formula>ر</formula>
    </cfRule>
  </conditionalFormatting>
  <conditionalFormatting sqref="H164:H168">
    <cfRule type="cellIs" dxfId="1" priority="740" operator="equal">
      <formula>ر</formula>
    </cfRule>
  </conditionalFormatting>
  <conditionalFormatting sqref="H167:H171">
    <cfRule type="cellIs" dxfId="1" priority="762" operator="equal">
      <formula>ر</formula>
    </cfRule>
  </conditionalFormatting>
  <conditionalFormatting sqref="H170:H174">
    <cfRule type="cellIs" dxfId="1" priority="784" operator="equal">
      <formula>ر</formula>
    </cfRule>
  </conditionalFormatting>
  <conditionalFormatting sqref="H173:H177">
    <cfRule type="cellIs" dxfId="1" priority="806" operator="equal">
      <formula>ر</formula>
    </cfRule>
  </conditionalFormatting>
  <conditionalFormatting sqref="H176:H180">
    <cfRule type="cellIs" dxfId="1" priority="828" operator="equal">
      <formula>ر</formula>
    </cfRule>
  </conditionalFormatting>
  <conditionalFormatting sqref="H179:H183">
    <cfRule type="cellIs" dxfId="1" priority="850" operator="equal">
      <formula>ر</formula>
    </cfRule>
  </conditionalFormatting>
  <conditionalFormatting sqref="H17:H21">
    <cfRule type="cellIs" dxfId="1" priority="96" operator="equal">
      <formula>ر</formula>
    </cfRule>
  </conditionalFormatting>
  <conditionalFormatting sqref="H182:H186">
    <cfRule type="cellIs" dxfId="1" priority="872" operator="equal">
      <formula>ر</formula>
    </cfRule>
  </conditionalFormatting>
  <conditionalFormatting sqref="H205:H209">
    <cfRule type="cellIs" dxfId="1" priority="896" operator="equal">
      <formula>ر</formula>
    </cfRule>
  </conditionalFormatting>
  <conditionalFormatting sqref="H208:H212">
    <cfRule type="cellIs" dxfId="1" priority="918" operator="equal">
      <formula>ر</formula>
    </cfRule>
  </conditionalFormatting>
  <conditionalFormatting sqref="H20:H24">
    <cfRule type="cellIs" dxfId="1" priority="118" operator="equal">
      <formula>ر</formula>
    </cfRule>
  </conditionalFormatting>
  <conditionalFormatting sqref="H211:H215">
    <cfRule type="cellIs" dxfId="1" priority="940" operator="equal">
      <formula>ر</formula>
    </cfRule>
  </conditionalFormatting>
  <conditionalFormatting sqref="H214:H218">
    <cfRule type="cellIs" dxfId="1" priority="962" operator="equal">
      <formula>ر</formula>
    </cfRule>
  </conditionalFormatting>
  <conditionalFormatting sqref="H217:H221">
    <cfRule type="cellIs" dxfId="1" priority="984" operator="equal">
      <formula>ر</formula>
    </cfRule>
  </conditionalFormatting>
  <conditionalFormatting sqref="H220:H224">
    <cfRule type="cellIs" dxfId="1" priority="1006" operator="equal">
      <formula>ر</formula>
    </cfRule>
  </conditionalFormatting>
  <conditionalFormatting sqref="H223:H227">
    <cfRule type="cellIs" dxfId="1" priority="1028" operator="equal">
      <formula>ر</formula>
    </cfRule>
  </conditionalFormatting>
  <conditionalFormatting sqref="H226:H230">
    <cfRule type="cellIs" dxfId="1" priority="1050" operator="equal">
      <formula>ر</formula>
    </cfRule>
  </conditionalFormatting>
  <conditionalFormatting sqref="H229:H233">
    <cfRule type="cellIs" dxfId="1" priority="1072" operator="equal">
      <formula>ر</formula>
    </cfRule>
  </conditionalFormatting>
  <conditionalFormatting sqref="H232:H236">
    <cfRule type="cellIs" dxfId="1" priority="1094" operator="equal">
      <formula>ر</formula>
    </cfRule>
  </conditionalFormatting>
  <conditionalFormatting sqref="H23:H27">
    <cfRule type="cellIs" dxfId="1" priority="140" operator="equal">
      <formula>ر</formula>
    </cfRule>
  </conditionalFormatting>
  <conditionalFormatting sqref="H26:H30">
    <cfRule type="cellIs" dxfId="1" priority="162" operator="equal">
      <formula>ر</formula>
    </cfRule>
  </conditionalFormatting>
  <conditionalFormatting sqref="H29:H33">
    <cfRule type="cellIs" dxfId="1" priority="184" operator="equal">
      <formula>ر</formula>
    </cfRule>
  </conditionalFormatting>
  <conditionalFormatting sqref="H32:H36">
    <cfRule type="cellIs" dxfId="1" priority="206" operator="equal">
      <formula>ر</formula>
    </cfRule>
  </conditionalFormatting>
  <conditionalFormatting sqref="H55:H59">
    <cfRule type="cellIs" dxfId="1" priority="230" operator="equal">
      <formula>ر</formula>
    </cfRule>
  </conditionalFormatting>
  <conditionalFormatting sqref="H58:H62">
    <cfRule type="cellIs" dxfId="1" priority="252" operator="equal">
      <formula>ر</formula>
    </cfRule>
  </conditionalFormatting>
  <conditionalFormatting sqref="H5:H9">
    <cfRule type="cellIs" dxfId="1" priority="8" operator="equal">
      <formula>ر</formula>
    </cfRule>
  </conditionalFormatting>
  <conditionalFormatting sqref="H61:H65">
    <cfRule type="cellIs" dxfId="1" priority="274" operator="equal">
      <formula>ر</formula>
    </cfRule>
  </conditionalFormatting>
  <conditionalFormatting sqref="H64:H68">
    <cfRule type="cellIs" dxfId="1" priority="296" operator="equal">
      <formula>ر</formula>
    </cfRule>
  </conditionalFormatting>
  <conditionalFormatting sqref="H67:H71">
    <cfRule type="cellIs" dxfId="1" priority="318" operator="equal">
      <formula>ر</formula>
    </cfRule>
  </conditionalFormatting>
  <conditionalFormatting sqref="H70:H74">
    <cfRule type="cellIs" dxfId="1" priority="340" operator="equal">
      <formula>ر</formula>
    </cfRule>
  </conditionalFormatting>
  <conditionalFormatting sqref="H73:H77">
    <cfRule type="cellIs" dxfId="1" priority="362" operator="equal">
      <formula>ر</formula>
    </cfRule>
  </conditionalFormatting>
  <conditionalFormatting sqref="H76:H80">
    <cfRule type="cellIs" dxfId="1" priority="384" operator="equal">
      <formula>ر</formula>
    </cfRule>
  </conditionalFormatting>
  <conditionalFormatting sqref="H79:H83">
    <cfRule type="cellIs" dxfId="1" priority="406" operator="equal">
      <formula>ر</formula>
    </cfRule>
  </conditionalFormatting>
  <conditionalFormatting sqref="H82:H86">
    <cfRule type="cellIs" dxfId="1" priority="428" operator="equal">
      <formula>ر</formula>
    </cfRule>
  </conditionalFormatting>
  <conditionalFormatting sqref="H8:H12">
    <cfRule type="cellIs" dxfId="1" priority="30" operator="equal">
      <formula>ر</formula>
    </cfRule>
  </conditionalFormatting>
  <conditionalFormatting sqref="I105:I109">
    <cfRule type="cellIs" dxfId="1" priority="451" operator="lessThan">
      <formula>50</formula>
    </cfRule>
  </conditionalFormatting>
  <conditionalFormatting sqref="I108:I112">
    <cfRule type="cellIs" dxfId="1" priority="473" operator="lessThan">
      <formula>50</formula>
    </cfRule>
  </conditionalFormatting>
  <conditionalFormatting sqref="I111:I115">
    <cfRule type="cellIs" dxfId="1" priority="495" operator="lessThan">
      <formula>50</formula>
    </cfRule>
  </conditionalFormatting>
  <conditionalFormatting sqref="I114:I118">
    <cfRule type="cellIs" dxfId="1" priority="517" operator="lessThan">
      <formula>50</formula>
    </cfRule>
  </conditionalFormatting>
  <conditionalFormatting sqref="I117:I121">
    <cfRule type="cellIs" dxfId="1" priority="539" operator="lessThan">
      <formula>50</formula>
    </cfRule>
  </conditionalFormatting>
  <conditionalFormatting sqref="I11:I15">
    <cfRule type="cellIs" dxfId="1" priority="51" operator="lessThan">
      <formula>50</formula>
    </cfRule>
  </conditionalFormatting>
  <conditionalFormatting sqref="I120:I124">
    <cfRule type="cellIs" dxfId="1" priority="561" operator="lessThan">
      <formula>50</formula>
    </cfRule>
  </conditionalFormatting>
  <conditionalFormatting sqref="I123:I127">
    <cfRule type="cellIs" dxfId="1" priority="583" operator="lessThan">
      <formula>50</formula>
    </cfRule>
  </conditionalFormatting>
  <conditionalFormatting sqref="I126:I130">
    <cfRule type="cellIs" dxfId="1" priority="605" operator="lessThan">
      <formula>50</formula>
    </cfRule>
  </conditionalFormatting>
  <conditionalFormatting sqref="I129:I133">
    <cfRule type="cellIs" dxfId="1" priority="627" operator="lessThan">
      <formula>50</formula>
    </cfRule>
  </conditionalFormatting>
  <conditionalFormatting sqref="I132:I136">
    <cfRule type="cellIs" dxfId="1" priority="649" operator="lessThan">
      <formula>50</formula>
    </cfRule>
  </conditionalFormatting>
  <conditionalFormatting sqref="I14:I18">
    <cfRule type="cellIs" dxfId="1" priority="73" operator="lessThan">
      <formula>50</formula>
    </cfRule>
  </conditionalFormatting>
  <conditionalFormatting sqref="I155:I159">
    <cfRule type="cellIs" dxfId="1" priority="673" operator="lessThan">
      <formula>50</formula>
    </cfRule>
  </conditionalFormatting>
  <conditionalFormatting sqref="I158:I162">
    <cfRule type="cellIs" dxfId="1" priority="695" operator="lessThan">
      <formula>50</formula>
    </cfRule>
  </conditionalFormatting>
  <conditionalFormatting sqref="I161:I165">
    <cfRule type="cellIs" dxfId="1" priority="717" operator="lessThan">
      <formula>50</formula>
    </cfRule>
  </conditionalFormatting>
  <conditionalFormatting sqref="I164:I168">
    <cfRule type="cellIs" dxfId="1" priority="739" operator="lessThan">
      <formula>50</formula>
    </cfRule>
  </conditionalFormatting>
  <conditionalFormatting sqref="I167:I171">
    <cfRule type="cellIs" dxfId="1" priority="761" operator="lessThan">
      <formula>50</formula>
    </cfRule>
  </conditionalFormatting>
  <conditionalFormatting sqref="I170:I174">
    <cfRule type="cellIs" dxfId="1" priority="783" operator="lessThan">
      <formula>50</formula>
    </cfRule>
  </conditionalFormatting>
  <conditionalFormatting sqref="I173:I177">
    <cfRule type="cellIs" dxfId="1" priority="805" operator="lessThan">
      <formula>50</formula>
    </cfRule>
  </conditionalFormatting>
  <conditionalFormatting sqref="I176:I180">
    <cfRule type="cellIs" dxfId="1" priority="827" operator="lessThan">
      <formula>50</formula>
    </cfRule>
  </conditionalFormatting>
  <conditionalFormatting sqref="I179:I183">
    <cfRule type="cellIs" dxfId="1" priority="849" operator="lessThan">
      <formula>50</formula>
    </cfRule>
  </conditionalFormatting>
  <conditionalFormatting sqref="I17:I21">
    <cfRule type="cellIs" dxfId="1" priority="95" operator="lessThan">
      <formula>50</formula>
    </cfRule>
  </conditionalFormatting>
  <conditionalFormatting sqref="I182:I186">
    <cfRule type="cellIs" dxfId="1" priority="871" operator="lessThan">
      <formula>50</formula>
    </cfRule>
  </conditionalFormatting>
  <conditionalFormatting sqref="I205:I209">
    <cfRule type="cellIs" dxfId="1" priority="895" operator="lessThan">
      <formula>50</formula>
    </cfRule>
  </conditionalFormatting>
  <conditionalFormatting sqref="I208:I212">
    <cfRule type="cellIs" dxfId="1" priority="917" operator="lessThan">
      <formula>50</formula>
    </cfRule>
  </conditionalFormatting>
  <conditionalFormatting sqref="I20:I24">
    <cfRule type="cellIs" dxfId="1" priority="117" operator="lessThan">
      <formula>50</formula>
    </cfRule>
  </conditionalFormatting>
  <conditionalFormatting sqref="I211:I215">
    <cfRule type="cellIs" dxfId="1" priority="939" operator="lessThan">
      <formula>50</formula>
    </cfRule>
  </conditionalFormatting>
  <conditionalFormatting sqref="I214:I218">
    <cfRule type="cellIs" dxfId="1" priority="961" operator="lessThan">
      <formula>50</formula>
    </cfRule>
  </conditionalFormatting>
  <conditionalFormatting sqref="I217:I221">
    <cfRule type="cellIs" dxfId="1" priority="983" operator="lessThan">
      <formula>50</formula>
    </cfRule>
  </conditionalFormatting>
  <conditionalFormatting sqref="I220:I224">
    <cfRule type="cellIs" dxfId="1" priority="1005" operator="lessThan">
      <formula>50</formula>
    </cfRule>
  </conditionalFormatting>
  <conditionalFormatting sqref="I223:I227">
    <cfRule type="cellIs" dxfId="1" priority="1027" operator="lessThan">
      <formula>50</formula>
    </cfRule>
  </conditionalFormatting>
  <conditionalFormatting sqref="I226:I230">
    <cfRule type="cellIs" dxfId="1" priority="1049" operator="lessThan">
      <formula>50</formula>
    </cfRule>
  </conditionalFormatting>
  <conditionalFormatting sqref="I229:I233">
    <cfRule type="cellIs" dxfId="1" priority="1071" operator="lessThan">
      <formula>50</formula>
    </cfRule>
  </conditionalFormatting>
  <conditionalFormatting sqref="I232:I236">
    <cfRule type="cellIs" dxfId="1" priority="1093" operator="lessThan">
      <formula>50</formula>
    </cfRule>
  </conditionalFormatting>
  <conditionalFormatting sqref="I23:I27">
    <cfRule type="cellIs" dxfId="1" priority="139" operator="lessThan">
      <formula>50</formula>
    </cfRule>
  </conditionalFormatting>
  <conditionalFormatting sqref="I26:I30">
    <cfRule type="cellIs" dxfId="1" priority="161" operator="lessThan">
      <formula>50</formula>
    </cfRule>
  </conditionalFormatting>
  <conditionalFormatting sqref="I29:I33">
    <cfRule type="cellIs" dxfId="1" priority="183" operator="lessThan">
      <formula>50</formula>
    </cfRule>
  </conditionalFormatting>
  <conditionalFormatting sqref="I32:I36">
    <cfRule type="cellIs" dxfId="1" priority="205" operator="lessThan">
      <formula>50</formula>
    </cfRule>
  </conditionalFormatting>
  <conditionalFormatting sqref="I55:I59">
    <cfRule type="cellIs" dxfId="1" priority="229" operator="lessThan">
      <formula>50</formula>
    </cfRule>
  </conditionalFormatting>
  <conditionalFormatting sqref="I58:I62">
    <cfRule type="cellIs" dxfId="1" priority="251" operator="lessThan">
      <formula>50</formula>
    </cfRule>
  </conditionalFormatting>
  <conditionalFormatting sqref="I5:I9">
    <cfRule type="cellIs" dxfId="1" priority="7" operator="lessThan">
      <formula>50</formula>
    </cfRule>
  </conditionalFormatting>
  <conditionalFormatting sqref="I61:I65">
    <cfRule type="cellIs" dxfId="1" priority="273" operator="lessThan">
      <formula>50</formula>
    </cfRule>
  </conditionalFormatting>
  <conditionalFormatting sqref="I64:I68">
    <cfRule type="cellIs" dxfId="1" priority="295" operator="lessThan">
      <formula>50</formula>
    </cfRule>
  </conditionalFormatting>
  <conditionalFormatting sqref="I67:I71">
    <cfRule type="cellIs" dxfId="1" priority="317" operator="lessThan">
      <formula>50</formula>
    </cfRule>
  </conditionalFormatting>
  <conditionalFormatting sqref="I70:I74">
    <cfRule type="cellIs" dxfId="1" priority="339" operator="lessThan">
      <formula>50</formula>
    </cfRule>
  </conditionalFormatting>
  <conditionalFormatting sqref="I73:I77">
    <cfRule type="cellIs" dxfId="1" priority="361" operator="lessThan">
      <formula>50</formula>
    </cfRule>
  </conditionalFormatting>
  <conditionalFormatting sqref="I76:I80">
    <cfRule type="cellIs" dxfId="1" priority="383" operator="lessThan">
      <formula>50</formula>
    </cfRule>
  </conditionalFormatting>
  <conditionalFormatting sqref="I79:I83">
    <cfRule type="cellIs" dxfId="1" priority="405" operator="lessThan">
      <formula>50</formula>
    </cfRule>
  </conditionalFormatting>
  <conditionalFormatting sqref="I82:I86">
    <cfRule type="cellIs" dxfId="1" priority="427" operator="lessThan">
      <formula>50</formula>
    </cfRule>
  </conditionalFormatting>
  <conditionalFormatting sqref="I8:I12">
    <cfRule type="cellIs" dxfId="1" priority="29" operator="lessThan">
      <formula>50</formula>
    </cfRule>
  </conditionalFormatting>
  <conditionalFormatting sqref="J105:J109">
    <cfRule type="cellIs" dxfId="1" priority="454" operator="equal">
      <formula>ر</formula>
    </cfRule>
  </conditionalFormatting>
  <conditionalFormatting sqref="J108:J112">
    <cfRule type="cellIs" dxfId="1" priority="476" operator="equal">
      <formula>ر</formula>
    </cfRule>
  </conditionalFormatting>
  <conditionalFormatting sqref="J111:J115">
    <cfRule type="cellIs" dxfId="1" priority="498" operator="equal">
      <formula>ر</formula>
    </cfRule>
  </conditionalFormatting>
  <conditionalFormatting sqref="J114:J118">
    <cfRule type="cellIs" dxfId="1" priority="520" operator="equal">
      <formula>ر</formula>
    </cfRule>
  </conditionalFormatting>
  <conditionalFormatting sqref="J117:J121">
    <cfRule type="cellIs" dxfId="1" priority="542" operator="equal">
      <formula>ر</formula>
    </cfRule>
  </conditionalFormatting>
  <conditionalFormatting sqref="J11:J15">
    <cfRule type="cellIs" dxfId="1" priority="54" operator="equal">
      <formula>ر</formula>
    </cfRule>
  </conditionalFormatting>
  <conditionalFormatting sqref="J120:J124">
    <cfRule type="cellIs" dxfId="1" priority="564" operator="equal">
      <formula>ر</formula>
    </cfRule>
  </conditionalFormatting>
  <conditionalFormatting sqref="J123:J127">
    <cfRule type="cellIs" dxfId="1" priority="586" operator="equal">
      <formula>ر</formula>
    </cfRule>
  </conditionalFormatting>
  <conditionalFormatting sqref="J126:J130">
    <cfRule type="cellIs" dxfId="1" priority="608" operator="equal">
      <formula>ر</formula>
    </cfRule>
  </conditionalFormatting>
  <conditionalFormatting sqref="J129:J133">
    <cfRule type="cellIs" dxfId="1" priority="630" operator="equal">
      <formula>ر</formula>
    </cfRule>
  </conditionalFormatting>
  <conditionalFormatting sqref="J132:J136">
    <cfRule type="cellIs" dxfId="1" priority="652" operator="equal">
      <formula>ر</formula>
    </cfRule>
  </conditionalFormatting>
  <conditionalFormatting sqref="J14:J18">
    <cfRule type="cellIs" dxfId="1" priority="76" operator="equal">
      <formula>ر</formula>
    </cfRule>
  </conditionalFormatting>
  <conditionalFormatting sqref="J155:J159">
    <cfRule type="cellIs" dxfId="1" priority="676" operator="equal">
      <formula>ر</formula>
    </cfRule>
  </conditionalFormatting>
  <conditionalFormatting sqref="J158:J162">
    <cfRule type="cellIs" dxfId="1" priority="698" operator="equal">
      <formula>ر</formula>
    </cfRule>
  </conditionalFormatting>
  <conditionalFormatting sqref="J161:J165">
    <cfRule type="cellIs" dxfId="1" priority="720" operator="equal">
      <formula>ر</formula>
    </cfRule>
  </conditionalFormatting>
  <conditionalFormatting sqref="J164:J168">
    <cfRule type="cellIs" dxfId="1" priority="742" operator="equal">
      <formula>ر</formula>
    </cfRule>
  </conditionalFormatting>
  <conditionalFormatting sqref="J167:J171">
    <cfRule type="cellIs" dxfId="1" priority="764" operator="equal">
      <formula>ر</formula>
    </cfRule>
  </conditionalFormatting>
  <conditionalFormatting sqref="J170:J174">
    <cfRule type="cellIs" dxfId="1" priority="786" operator="equal">
      <formula>ر</formula>
    </cfRule>
  </conditionalFormatting>
  <conditionalFormatting sqref="J173:J177">
    <cfRule type="cellIs" dxfId="1" priority="808" operator="equal">
      <formula>ر</formula>
    </cfRule>
  </conditionalFormatting>
  <conditionalFormatting sqref="J176:J180">
    <cfRule type="cellIs" dxfId="1" priority="830" operator="equal">
      <formula>ر</formula>
    </cfRule>
  </conditionalFormatting>
  <conditionalFormatting sqref="J179:J183">
    <cfRule type="cellIs" dxfId="1" priority="852" operator="equal">
      <formula>ر</formula>
    </cfRule>
  </conditionalFormatting>
  <conditionalFormatting sqref="J17:J21">
    <cfRule type="cellIs" dxfId="1" priority="98" operator="equal">
      <formula>ر</formula>
    </cfRule>
  </conditionalFormatting>
  <conditionalFormatting sqref="J182:J186">
    <cfRule type="cellIs" dxfId="1" priority="874" operator="equal">
      <formula>ر</formula>
    </cfRule>
  </conditionalFormatting>
  <conditionalFormatting sqref="J205:J209">
    <cfRule type="cellIs" dxfId="1" priority="898" operator="equal">
      <formula>ر</formula>
    </cfRule>
  </conditionalFormatting>
  <conditionalFormatting sqref="J208:J212">
    <cfRule type="cellIs" dxfId="1" priority="920" operator="equal">
      <formula>ر</formula>
    </cfRule>
  </conditionalFormatting>
  <conditionalFormatting sqref="J20:J24">
    <cfRule type="cellIs" dxfId="1" priority="120" operator="equal">
      <formula>ر</formula>
    </cfRule>
  </conditionalFormatting>
  <conditionalFormatting sqref="J211:J215">
    <cfRule type="cellIs" dxfId="1" priority="942" operator="equal">
      <formula>ر</formula>
    </cfRule>
  </conditionalFormatting>
  <conditionalFormatting sqref="J214:J218">
    <cfRule type="cellIs" dxfId="1" priority="964" operator="equal">
      <formula>ر</formula>
    </cfRule>
  </conditionalFormatting>
  <conditionalFormatting sqref="J217:J221">
    <cfRule type="cellIs" dxfId="1" priority="986" operator="equal">
      <formula>ر</formula>
    </cfRule>
  </conditionalFormatting>
  <conditionalFormatting sqref="J220:J224">
    <cfRule type="cellIs" dxfId="1" priority="1008" operator="equal">
      <formula>ر</formula>
    </cfRule>
  </conditionalFormatting>
  <conditionalFormatting sqref="J223:J227">
    <cfRule type="cellIs" dxfId="1" priority="1030" operator="equal">
      <formula>ر</formula>
    </cfRule>
  </conditionalFormatting>
  <conditionalFormatting sqref="J226:J230">
    <cfRule type="cellIs" dxfId="1" priority="1052" operator="equal">
      <formula>ر</formula>
    </cfRule>
  </conditionalFormatting>
  <conditionalFormatting sqref="J229:J233">
    <cfRule type="cellIs" dxfId="1" priority="1074" operator="equal">
      <formula>ر</formula>
    </cfRule>
  </conditionalFormatting>
  <conditionalFormatting sqref="J232:J236">
    <cfRule type="cellIs" dxfId="1" priority="1096" operator="equal">
      <formula>ر</formula>
    </cfRule>
  </conditionalFormatting>
  <conditionalFormatting sqref="J23:J27">
    <cfRule type="cellIs" dxfId="1" priority="142" operator="equal">
      <formula>ر</formula>
    </cfRule>
  </conditionalFormatting>
  <conditionalFormatting sqref="J26:J30">
    <cfRule type="cellIs" dxfId="1" priority="164" operator="equal">
      <formula>ر</formula>
    </cfRule>
  </conditionalFormatting>
  <conditionalFormatting sqref="J29:J33">
    <cfRule type="cellIs" dxfId="1" priority="186" operator="equal">
      <formula>ر</formula>
    </cfRule>
  </conditionalFormatting>
  <conditionalFormatting sqref="J32:J36">
    <cfRule type="cellIs" dxfId="1" priority="208" operator="equal">
      <formula>ر</formula>
    </cfRule>
  </conditionalFormatting>
  <conditionalFormatting sqref="J55:J59">
    <cfRule type="cellIs" dxfId="1" priority="232" operator="equal">
      <formula>ر</formula>
    </cfRule>
  </conditionalFormatting>
  <conditionalFormatting sqref="J58:J62">
    <cfRule type="cellIs" dxfId="1" priority="254" operator="equal">
      <formula>ر</formula>
    </cfRule>
  </conditionalFormatting>
  <conditionalFormatting sqref="J5:J9">
    <cfRule type="cellIs" dxfId="1" priority="10" operator="equal">
      <formula>ر</formula>
    </cfRule>
  </conditionalFormatting>
  <conditionalFormatting sqref="J61:J65">
    <cfRule type="cellIs" dxfId="1" priority="276" operator="equal">
      <formula>ر</formula>
    </cfRule>
  </conditionalFormatting>
  <conditionalFormatting sqref="J64:J68">
    <cfRule type="cellIs" dxfId="1" priority="298" operator="equal">
      <formula>ر</formula>
    </cfRule>
  </conditionalFormatting>
  <conditionalFormatting sqref="J67:J71">
    <cfRule type="cellIs" dxfId="1" priority="320" operator="equal">
      <formula>ر</formula>
    </cfRule>
  </conditionalFormatting>
  <conditionalFormatting sqref="J70:J74">
    <cfRule type="cellIs" dxfId="1" priority="342" operator="equal">
      <formula>ر</formula>
    </cfRule>
  </conditionalFormatting>
  <conditionalFormatting sqref="J73:J77">
    <cfRule type="cellIs" dxfId="1" priority="364" operator="equal">
      <formula>ر</formula>
    </cfRule>
  </conditionalFormatting>
  <conditionalFormatting sqref="J76:J80">
    <cfRule type="cellIs" dxfId="1" priority="386" operator="equal">
      <formula>ر</formula>
    </cfRule>
  </conditionalFormatting>
  <conditionalFormatting sqref="J79:J83">
    <cfRule type="cellIs" dxfId="1" priority="408" operator="equal">
      <formula>ر</formula>
    </cfRule>
  </conditionalFormatting>
  <conditionalFormatting sqref="J82:J86">
    <cfRule type="cellIs" dxfId="1" priority="430" operator="equal">
      <formula>ر</formula>
    </cfRule>
  </conditionalFormatting>
  <conditionalFormatting sqref="J8:J12">
    <cfRule type="cellIs" dxfId="1" priority="32" operator="equal">
      <formula>ر</formula>
    </cfRule>
  </conditionalFormatting>
  <conditionalFormatting sqref="K105:K109">
    <cfRule type="cellIs" dxfId="1" priority="453" operator="lessThan">
      <formula>50</formula>
    </cfRule>
  </conditionalFormatting>
  <conditionalFormatting sqref="K108:K112">
    <cfRule type="cellIs" dxfId="1" priority="475" operator="lessThan">
      <formula>50</formula>
    </cfRule>
  </conditionalFormatting>
  <conditionalFormatting sqref="K111:K115">
    <cfRule type="cellIs" dxfId="1" priority="497" operator="lessThan">
      <formula>50</formula>
    </cfRule>
  </conditionalFormatting>
  <conditionalFormatting sqref="K114:K118">
    <cfRule type="cellIs" dxfId="1" priority="519" operator="lessThan">
      <formula>50</formula>
    </cfRule>
  </conditionalFormatting>
  <conditionalFormatting sqref="K117:K121">
    <cfRule type="cellIs" dxfId="1" priority="541" operator="lessThan">
      <formula>50</formula>
    </cfRule>
  </conditionalFormatting>
  <conditionalFormatting sqref="K11:K15">
    <cfRule type="cellIs" dxfId="1" priority="53" operator="lessThan">
      <formula>50</formula>
    </cfRule>
  </conditionalFormatting>
  <conditionalFormatting sqref="K120:K124">
    <cfRule type="cellIs" dxfId="1" priority="563" operator="lessThan">
      <formula>50</formula>
    </cfRule>
  </conditionalFormatting>
  <conditionalFormatting sqref="K123:K127">
    <cfRule type="cellIs" dxfId="1" priority="585" operator="lessThan">
      <formula>50</formula>
    </cfRule>
  </conditionalFormatting>
  <conditionalFormatting sqref="K126:K130">
    <cfRule type="cellIs" dxfId="1" priority="607" operator="lessThan">
      <formula>50</formula>
    </cfRule>
  </conditionalFormatting>
  <conditionalFormatting sqref="K129:K133">
    <cfRule type="cellIs" dxfId="1" priority="629" operator="lessThan">
      <formula>50</formula>
    </cfRule>
  </conditionalFormatting>
  <conditionalFormatting sqref="K132:K136">
    <cfRule type="cellIs" dxfId="1" priority="651" operator="lessThan">
      <formula>50</formula>
    </cfRule>
  </conditionalFormatting>
  <conditionalFormatting sqref="K14:K18">
    <cfRule type="cellIs" dxfId="1" priority="75" operator="lessThan">
      <formula>50</formula>
    </cfRule>
  </conditionalFormatting>
  <conditionalFormatting sqref="K155:K159">
    <cfRule type="cellIs" dxfId="1" priority="675" operator="lessThan">
      <formula>50</formula>
    </cfRule>
  </conditionalFormatting>
  <conditionalFormatting sqref="K158:K162">
    <cfRule type="cellIs" dxfId="1" priority="697" operator="lessThan">
      <formula>50</formula>
    </cfRule>
  </conditionalFormatting>
  <conditionalFormatting sqref="K161:K165">
    <cfRule type="cellIs" dxfId="1" priority="719" operator="lessThan">
      <formula>50</formula>
    </cfRule>
  </conditionalFormatting>
  <conditionalFormatting sqref="K164:K168">
    <cfRule type="cellIs" dxfId="1" priority="741" operator="lessThan">
      <formula>50</formula>
    </cfRule>
  </conditionalFormatting>
  <conditionalFormatting sqref="K167:K171">
    <cfRule type="cellIs" dxfId="1" priority="763" operator="lessThan">
      <formula>50</formula>
    </cfRule>
  </conditionalFormatting>
  <conditionalFormatting sqref="K170:K174">
    <cfRule type="cellIs" dxfId="1" priority="785" operator="lessThan">
      <formula>50</formula>
    </cfRule>
  </conditionalFormatting>
  <conditionalFormatting sqref="K173:K177">
    <cfRule type="cellIs" dxfId="1" priority="807" operator="lessThan">
      <formula>50</formula>
    </cfRule>
  </conditionalFormatting>
  <conditionalFormatting sqref="K176:K180">
    <cfRule type="cellIs" dxfId="1" priority="829" operator="lessThan">
      <formula>50</formula>
    </cfRule>
  </conditionalFormatting>
  <conditionalFormatting sqref="K179:K183">
    <cfRule type="cellIs" dxfId="1" priority="851" operator="lessThan">
      <formula>50</formula>
    </cfRule>
  </conditionalFormatting>
  <conditionalFormatting sqref="K17:K21">
    <cfRule type="cellIs" dxfId="1" priority="97" operator="lessThan">
      <formula>50</formula>
    </cfRule>
  </conditionalFormatting>
  <conditionalFormatting sqref="K182:K186">
    <cfRule type="cellIs" dxfId="1" priority="873" operator="lessThan">
      <formula>50</formula>
    </cfRule>
  </conditionalFormatting>
  <conditionalFormatting sqref="K205:K209">
    <cfRule type="cellIs" dxfId="1" priority="897" operator="lessThan">
      <formula>50</formula>
    </cfRule>
  </conditionalFormatting>
  <conditionalFormatting sqref="K208:K212">
    <cfRule type="cellIs" dxfId="1" priority="919" operator="lessThan">
      <formula>50</formula>
    </cfRule>
  </conditionalFormatting>
  <conditionalFormatting sqref="K20:K24">
    <cfRule type="cellIs" dxfId="1" priority="119" operator="lessThan">
      <formula>50</formula>
    </cfRule>
  </conditionalFormatting>
  <conditionalFormatting sqref="K211:K215">
    <cfRule type="cellIs" dxfId="1" priority="941" operator="lessThan">
      <formula>50</formula>
    </cfRule>
  </conditionalFormatting>
  <conditionalFormatting sqref="K214:K218">
    <cfRule type="cellIs" dxfId="1" priority="963" operator="lessThan">
      <formula>50</formula>
    </cfRule>
  </conditionalFormatting>
  <conditionalFormatting sqref="K217:K221">
    <cfRule type="cellIs" dxfId="1" priority="985" operator="lessThan">
      <formula>50</formula>
    </cfRule>
  </conditionalFormatting>
  <conditionalFormatting sqref="K220:K224">
    <cfRule type="cellIs" dxfId="1" priority="1007" operator="lessThan">
      <formula>50</formula>
    </cfRule>
  </conditionalFormatting>
  <conditionalFormatting sqref="K223:K227">
    <cfRule type="cellIs" dxfId="1" priority="1029" operator="lessThan">
      <formula>50</formula>
    </cfRule>
  </conditionalFormatting>
  <conditionalFormatting sqref="K226:K230">
    <cfRule type="cellIs" dxfId="1" priority="1051" operator="lessThan">
      <formula>50</formula>
    </cfRule>
  </conditionalFormatting>
  <conditionalFormatting sqref="K229:K233">
    <cfRule type="cellIs" dxfId="1" priority="1073" operator="lessThan">
      <formula>50</formula>
    </cfRule>
  </conditionalFormatting>
  <conditionalFormatting sqref="K232:K236">
    <cfRule type="cellIs" dxfId="1" priority="1095" operator="lessThan">
      <formula>50</formula>
    </cfRule>
  </conditionalFormatting>
  <conditionalFormatting sqref="K23:K27">
    <cfRule type="cellIs" dxfId="1" priority="141" operator="lessThan">
      <formula>50</formula>
    </cfRule>
  </conditionalFormatting>
  <conditionalFormatting sqref="K26:K30">
    <cfRule type="cellIs" dxfId="1" priority="163" operator="lessThan">
      <formula>50</formula>
    </cfRule>
  </conditionalFormatting>
  <conditionalFormatting sqref="K29:K33">
    <cfRule type="cellIs" dxfId="1" priority="185" operator="lessThan">
      <formula>50</formula>
    </cfRule>
  </conditionalFormatting>
  <conditionalFormatting sqref="K32:K36">
    <cfRule type="cellIs" dxfId="1" priority="207" operator="lessThan">
      <formula>50</formula>
    </cfRule>
  </conditionalFormatting>
  <conditionalFormatting sqref="K55:K59">
    <cfRule type="cellIs" dxfId="1" priority="231" operator="lessThan">
      <formula>50</formula>
    </cfRule>
  </conditionalFormatting>
  <conditionalFormatting sqref="K58:K62">
    <cfRule type="cellIs" dxfId="1" priority="253" operator="lessThan">
      <formula>50</formula>
    </cfRule>
  </conditionalFormatting>
  <conditionalFormatting sqref="K5:K9">
    <cfRule type="cellIs" dxfId="1" priority="9" operator="lessThan">
      <formula>50</formula>
    </cfRule>
  </conditionalFormatting>
  <conditionalFormatting sqref="K61:K65">
    <cfRule type="cellIs" dxfId="1" priority="275" operator="lessThan">
      <formula>50</formula>
    </cfRule>
  </conditionalFormatting>
  <conditionalFormatting sqref="K64:K68">
    <cfRule type="cellIs" dxfId="1" priority="297" operator="lessThan">
      <formula>50</formula>
    </cfRule>
  </conditionalFormatting>
  <conditionalFormatting sqref="K67:K71">
    <cfRule type="cellIs" dxfId="1" priority="319" operator="lessThan">
      <formula>50</formula>
    </cfRule>
  </conditionalFormatting>
  <conditionalFormatting sqref="K70:K74">
    <cfRule type="cellIs" dxfId="1" priority="341" operator="lessThan">
      <formula>50</formula>
    </cfRule>
  </conditionalFormatting>
  <conditionalFormatting sqref="K73:K77">
    <cfRule type="cellIs" dxfId="1" priority="363" operator="lessThan">
      <formula>50</formula>
    </cfRule>
  </conditionalFormatting>
  <conditionalFormatting sqref="K76:K80">
    <cfRule type="cellIs" dxfId="1" priority="385" operator="lessThan">
      <formula>50</formula>
    </cfRule>
  </conditionalFormatting>
  <conditionalFormatting sqref="K79:K83">
    <cfRule type="cellIs" dxfId="1" priority="407" operator="lessThan">
      <formula>50</formula>
    </cfRule>
  </conditionalFormatting>
  <conditionalFormatting sqref="K82:K86">
    <cfRule type="cellIs" dxfId="1" priority="429" operator="lessThan">
      <formula>50</formula>
    </cfRule>
  </conditionalFormatting>
  <conditionalFormatting sqref="K8:K12">
    <cfRule type="cellIs" dxfId="1" priority="31" operator="lessThan">
      <formula>50</formula>
    </cfRule>
  </conditionalFormatting>
  <conditionalFormatting sqref="L105:L109">
    <cfRule type="cellIs" dxfId="1" priority="456" operator="equal">
      <formula>ر</formula>
    </cfRule>
  </conditionalFormatting>
  <conditionalFormatting sqref="L108:L112">
    <cfRule type="cellIs" dxfId="1" priority="478" operator="equal">
      <formula>ر</formula>
    </cfRule>
  </conditionalFormatting>
  <conditionalFormatting sqref="L111:L115">
    <cfRule type="cellIs" dxfId="1" priority="500" operator="equal">
      <formula>ر</formula>
    </cfRule>
  </conditionalFormatting>
  <conditionalFormatting sqref="L114:L118">
    <cfRule type="cellIs" dxfId="1" priority="522" operator="equal">
      <formula>ر</formula>
    </cfRule>
  </conditionalFormatting>
  <conditionalFormatting sqref="L117:L121">
    <cfRule type="cellIs" dxfId="1" priority="544" operator="equal">
      <formula>ر</formula>
    </cfRule>
  </conditionalFormatting>
  <conditionalFormatting sqref="L11:L15">
    <cfRule type="cellIs" dxfId="1" priority="56" operator="equal">
      <formula>ر</formula>
    </cfRule>
  </conditionalFormatting>
  <conditionalFormatting sqref="L120:L124">
    <cfRule type="cellIs" dxfId="1" priority="566" operator="equal">
      <formula>ر</formula>
    </cfRule>
  </conditionalFormatting>
  <conditionalFormatting sqref="L123:L127">
    <cfRule type="cellIs" dxfId="1" priority="588" operator="equal">
      <formula>ر</formula>
    </cfRule>
  </conditionalFormatting>
  <conditionalFormatting sqref="L126:L130">
    <cfRule type="cellIs" dxfId="1" priority="610" operator="equal">
      <formula>ر</formula>
    </cfRule>
  </conditionalFormatting>
  <conditionalFormatting sqref="L129:L133">
    <cfRule type="cellIs" dxfId="1" priority="632" operator="equal">
      <formula>ر</formula>
    </cfRule>
  </conditionalFormatting>
  <conditionalFormatting sqref="L132:L136">
    <cfRule type="cellIs" dxfId="1" priority="654" operator="equal">
      <formula>ر</formula>
    </cfRule>
  </conditionalFormatting>
  <conditionalFormatting sqref="L14:L18">
    <cfRule type="cellIs" dxfId="1" priority="78" operator="equal">
      <formula>ر</formula>
    </cfRule>
  </conditionalFormatting>
  <conditionalFormatting sqref="L155:L159">
    <cfRule type="cellIs" dxfId="1" priority="678" operator="equal">
      <formula>ر</formula>
    </cfRule>
  </conditionalFormatting>
  <conditionalFormatting sqref="L158:L162">
    <cfRule type="cellIs" dxfId="1" priority="700" operator="equal">
      <formula>ر</formula>
    </cfRule>
  </conditionalFormatting>
  <conditionalFormatting sqref="L161:L165">
    <cfRule type="cellIs" dxfId="1" priority="722" operator="equal">
      <formula>ر</formula>
    </cfRule>
  </conditionalFormatting>
  <conditionalFormatting sqref="L164:L168">
    <cfRule type="cellIs" dxfId="1" priority="744" operator="equal">
      <formula>ر</formula>
    </cfRule>
  </conditionalFormatting>
  <conditionalFormatting sqref="L167:L171">
    <cfRule type="cellIs" dxfId="1" priority="766" operator="equal">
      <formula>ر</formula>
    </cfRule>
  </conditionalFormatting>
  <conditionalFormatting sqref="L170:L174">
    <cfRule type="cellIs" dxfId="1" priority="788" operator="equal">
      <formula>ر</formula>
    </cfRule>
  </conditionalFormatting>
  <conditionalFormatting sqref="L173:L177">
    <cfRule type="cellIs" dxfId="1" priority="810" operator="equal">
      <formula>ر</formula>
    </cfRule>
  </conditionalFormatting>
  <conditionalFormatting sqref="L176:L180">
    <cfRule type="cellIs" dxfId="1" priority="832" operator="equal">
      <formula>ر</formula>
    </cfRule>
  </conditionalFormatting>
  <conditionalFormatting sqref="L179:L183">
    <cfRule type="cellIs" dxfId="1" priority="854" operator="equal">
      <formula>ر</formula>
    </cfRule>
  </conditionalFormatting>
  <conditionalFormatting sqref="L17:L21">
    <cfRule type="cellIs" dxfId="1" priority="100" operator="equal">
      <formula>ر</formula>
    </cfRule>
  </conditionalFormatting>
  <conditionalFormatting sqref="L182:L186">
    <cfRule type="cellIs" dxfId="1" priority="876" operator="equal">
      <formula>ر</formula>
    </cfRule>
  </conditionalFormatting>
  <conditionalFormatting sqref="L205:L209">
    <cfRule type="cellIs" dxfId="1" priority="900" operator="equal">
      <formula>ر</formula>
    </cfRule>
  </conditionalFormatting>
  <conditionalFormatting sqref="L208:L212">
    <cfRule type="cellIs" dxfId="1" priority="922" operator="equal">
      <formula>ر</formula>
    </cfRule>
  </conditionalFormatting>
  <conditionalFormatting sqref="L20:L24">
    <cfRule type="cellIs" dxfId="1" priority="122" operator="equal">
      <formula>ر</formula>
    </cfRule>
  </conditionalFormatting>
  <conditionalFormatting sqref="L211:L215">
    <cfRule type="cellIs" dxfId="1" priority="944" operator="equal">
      <formula>ر</formula>
    </cfRule>
  </conditionalFormatting>
  <conditionalFormatting sqref="L214:L218">
    <cfRule type="cellIs" dxfId="1" priority="966" operator="equal">
      <formula>ر</formula>
    </cfRule>
  </conditionalFormatting>
  <conditionalFormatting sqref="L217:L221">
    <cfRule type="cellIs" dxfId="1" priority="988" operator="equal">
      <formula>ر</formula>
    </cfRule>
  </conditionalFormatting>
  <conditionalFormatting sqref="L220:L224">
    <cfRule type="cellIs" dxfId="1" priority="1010" operator="equal">
      <formula>ر</formula>
    </cfRule>
  </conditionalFormatting>
  <conditionalFormatting sqref="L223:L227">
    <cfRule type="cellIs" dxfId="1" priority="1032" operator="equal">
      <formula>ر</formula>
    </cfRule>
  </conditionalFormatting>
  <conditionalFormatting sqref="L226:L230">
    <cfRule type="cellIs" dxfId="1" priority="1054" operator="equal">
      <formula>ر</formula>
    </cfRule>
  </conditionalFormatting>
  <conditionalFormatting sqref="L229:L233">
    <cfRule type="cellIs" dxfId="1" priority="1076" operator="equal">
      <formula>ر</formula>
    </cfRule>
  </conditionalFormatting>
  <conditionalFormatting sqref="L232:L236">
    <cfRule type="cellIs" dxfId="1" priority="1098" operator="equal">
      <formula>ر</formula>
    </cfRule>
  </conditionalFormatting>
  <conditionalFormatting sqref="L23:L27">
    <cfRule type="cellIs" dxfId="1" priority="144" operator="equal">
      <formula>ر</formula>
    </cfRule>
  </conditionalFormatting>
  <conditionalFormatting sqref="L26:L30">
    <cfRule type="cellIs" dxfId="1" priority="166" operator="equal">
      <formula>ر</formula>
    </cfRule>
  </conditionalFormatting>
  <conditionalFormatting sqref="L29:L33">
    <cfRule type="cellIs" dxfId="1" priority="188" operator="equal">
      <formula>ر</formula>
    </cfRule>
  </conditionalFormatting>
  <conditionalFormatting sqref="L32:L36">
    <cfRule type="cellIs" dxfId="1" priority="210" operator="equal">
      <formula>ر</formula>
    </cfRule>
  </conditionalFormatting>
  <conditionalFormatting sqref="L55:L59">
    <cfRule type="cellIs" dxfId="1" priority="234" operator="equal">
      <formula>ر</formula>
    </cfRule>
  </conditionalFormatting>
  <conditionalFormatting sqref="L58:L62">
    <cfRule type="cellIs" dxfId="1" priority="256" operator="equal">
      <formula>ر</formula>
    </cfRule>
  </conditionalFormatting>
  <conditionalFormatting sqref="L5:L9">
    <cfRule type="cellIs" dxfId="1" priority="12" operator="equal">
      <formula>ر</formula>
    </cfRule>
  </conditionalFormatting>
  <conditionalFormatting sqref="L61:L65">
    <cfRule type="cellIs" dxfId="1" priority="278" operator="equal">
      <formula>ر</formula>
    </cfRule>
  </conditionalFormatting>
  <conditionalFormatting sqref="L64:L68">
    <cfRule type="cellIs" dxfId="1" priority="300" operator="equal">
      <formula>ر</formula>
    </cfRule>
  </conditionalFormatting>
  <conditionalFormatting sqref="L67:L71">
    <cfRule type="cellIs" dxfId="1" priority="322" operator="equal">
      <formula>ر</formula>
    </cfRule>
  </conditionalFormatting>
  <conditionalFormatting sqref="L70:L74">
    <cfRule type="cellIs" dxfId="1" priority="344" operator="equal">
      <formula>ر</formula>
    </cfRule>
  </conditionalFormatting>
  <conditionalFormatting sqref="L73:L77">
    <cfRule type="cellIs" dxfId="1" priority="366" operator="equal">
      <formula>ر</formula>
    </cfRule>
  </conditionalFormatting>
  <conditionalFormatting sqref="L76:L80">
    <cfRule type="cellIs" dxfId="1" priority="388" operator="equal">
      <formula>ر</formula>
    </cfRule>
  </conditionalFormatting>
  <conditionalFormatting sqref="L79:L83">
    <cfRule type="cellIs" dxfId="1" priority="410" operator="equal">
      <formula>ر</formula>
    </cfRule>
  </conditionalFormatting>
  <conditionalFormatting sqref="L82:L86">
    <cfRule type="cellIs" dxfId="1" priority="432" operator="equal">
      <formula>ر</formula>
    </cfRule>
  </conditionalFormatting>
  <conditionalFormatting sqref="L8:L12">
    <cfRule type="cellIs" dxfId="1" priority="34" operator="equal">
      <formula>ر</formula>
    </cfRule>
  </conditionalFormatting>
  <conditionalFormatting sqref="M105:M109">
    <cfRule type="cellIs" dxfId="1" priority="455" operator="lessThan">
      <formula>50</formula>
    </cfRule>
  </conditionalFormatting>
  <conditionalFormatting sqref="M108:M112">
    <cfRule type="cellIs" dxfId="1" priority="477" operator="lessThan">
      <formula>50</formula>
    </cfRule>
  </conditionalFormatting>
  <conditionalFormatting sqref="M111:M115">
    <cfRule type="cellIs" dxfId="1" priority="499" operator="lessThan">
      <formula>50</formula>
    </cfRule>
  </conditionalFormatting>
  <conditionalFormatting sqref="M114:M118">
    <cfRule type="cellIs" dxfId="1" priority="521" operator="lessThan">
      <formula>50</formula>
    </cfRule>
  </conditionalFormatting>
  <conditionalFormatting sqref="M117:M121">
    <cfRule type="cellIs" dxfId="1" priority="543" operator="lessThan">
      <formula>50</formula>
    </cfRule>
  </conditionalFormatting>
  <conditionalFormatting sqref="M11:M15">
    <cfRule type="cellIs" dxfId="1" priority="55" operator="lessThan">
      <formula>50</formula>
    </cfRule>
  </conditionalFormatting>
  <conditionalFormatting sqref="M120:M124">
    <cfRule type="cellIs" dxfId="1" priority="565" operator="lessThan">
      <formula>50</formula>
    </cfRule>
  </conditionalFormatting>
  <conditionalFormatting sqref="M123:M127">
    <cfRule type="cellIs" dxfId="1" priority="587" operator="lessThan">
      <formula>50</formula>
    </cfRule>
  </conditionalFormatting>
  <conditionalFormatting sqref="M126:M130">
    <cfRule type="cellIs" dxfId="1" priority="609" operator="lessThan">
      <formula>50</formula>
    </cfRule>
  </conditionalFormatting>
  <conditionalFormatting sqref="M129:M133">
    <cfRule type="cellIs" dxfId="1" priority="631" operator="lessThan">
      <formula>50</formula>
    </cfRule>
  </conditionalFormatting>
  <conditionalFormatting sqref="M132:M136">
    <cfRule type="cellIs" dxfId="1" priority="653" operator="lessThan">
      <formula>50</formula>
    </cfRule>
  </conditionalFormatting>
  <conditionalFormatting sqref="M14:M18">
    <cfRule type="cellIs" dxfId="1" priority="77" operator="lessThan">
      <formula>50</formula>
    </cfRule>
  </conditionalFormatting>
  <conditionalFormatting sqref="M155:M159">
    <cfRule type="cellIs" dxfId="1" priority="677" operator="lessThan">
      <formula>50</formula>
    </cfRule>
  </conditionalFormatting>
  <conditionalFormatting sqref="M158:M162">
    <cfRule type="cellIs" dxfId="1" priority="699" operator="lessThan">
      <formula>50</formula>
    </cfRule>
  </conditionalFormatting>
  <conditionalFormatting sqref="M161:M165">
    <cfRule type="cellIs" dxfId="1" priority="721" operator="lessThan">
      <formula>50</formula>
    </cfRule>
  </conditionalFormatting>
  <conditionalFormatting sqref="M164:M168">
    <cfRule type="cellIs" dxfId="1" priority="743" operator="lessThan">
      <formula>50</formula>
    </cfRule>
  </conditionalFormatting>
  <conditionalFormatting sqref="M167:M171">
    <cfRule type="cellIs" dxfId="1" priority="765" operator="lessThan">
      <formula>50</formula>
    </cfRule>
  </conditionalFormatting>
  <conditionalFormatting sqref="M170:M174">
    <cfRule type="cellIs" dxfId="1" priority="787" operator="lessThan">
      <formula>50</formula>
    </cfRule>
  </conditionalFormatting>
  <conditionalFormatting sqref="M173:M177">
    <cfRule type="cellIs" dxfId="1" priority="809" operator="lessThan">
      <formula>50</formula>
    </cfRule>
  </conditionalFormatting>
  <conditionalFormatting sqref="M176:M180">
    <cfRule type="cellIs" dxfId="1" priority="831" operator="lessThan">
      <formula>50</formula>
    </cfRule>
  </conditionalFormatting>
  <conditionalFormatting sqref="M179:M183">
    <cfRule type="cellIs" dxfId="1" priority="853" operator="lessThan">
      <formula>50</formula>
    </cfRule>
  </conditionalFormatting>
  <conditionalFormatting sqref="M17:M21">
    <cfRule type="cellIs" dxfId="1" priority="99" operator="lessThan">
      <formula>50</formula>
    </cfRule>
  </conditionalFormatting>
  <conditionalFormatting sqref="M182:M186">
    <cfRule type="cellIs" dxfId="1" priority="875" operator="lessThan">
      <formula>50</formula>
    </cfRule>
  </conditionalFormatting>
  <conditionalFormatting sqref="M205:M209">
    <cfRule type="cellIs" dxfId="1" priority="899" operator="lessThan">
      <formula>50</formula>
    </cfRule>
  </conditionalFormatting>
  <conditionalFormatting sqref="M208:M212">
    <cfRule type="cellIs" dxfId="1" priority="921" operator="lessThan">
      <formula>50</formula>
    </cfRule>
  </conditionalFormatting>
  <conditionalFormatting sqref="M20:M24">
    <cfRule type="cellIs" dxfId="1" priority="121" operator="lessThan">
      <formula>50</formula>
    </cfRule>
  </conditionalFormatting>
  <conditionalFormatting sqref="M211:M215">
    <cfRule type="cellIs" dxfId="1" priority="943" operator="lessThan">
      <formula>50</formula>
    </cfRule>
  </conditionalFormatting>
  <conditionalFormatting sqref="M214:M218">
    <cfRule type="cellIs" dxfId="1" priority="965" operator="lessThan">
      <formula>50</formula>
    </cfRule>
  </conditionalFormatting>
  <conditionalFormatting sqref="M217:M221">
    <cfRule type="cellIs" dxfId="1" priority="987" operator="lessThan">
      <formula>50</formula>
    </cfRule>
  </conditionalFormatting>
  <conditionalFormatting sqref="M220:M224">
    <cfRule type="cellIs" dxfId="1" priority="1009" operator="lessThan">
      <formula>50</formula>
    </cfRule>
  </conditionalFormatting>
  <conditionalFormatting sqref="M223:M227">
    <cfRule type="cellIs" dxfId="1" priority="1031" operator="lessThan">
      <formula>50</formula>
    </cfRule>
  </conditionalFormatting>
  <conditionalFormatting sqref="M226:M230">
    <cfRule type="cellIs" dxfId="1" priority="1053" operator="lessThan">
      <formula>50</formula>
    </cfRule>
  </conditionalFormatting>
  <conditionalFormatting sqref="M229:M233">
    <cfRule type="cellIs" dxfId="1" priority="1075" operator="lessThan">
      <formula>50</formula>
    </cfRule>
  </conditionalFormatting>
  <conditionalFormatting sqref="M232:M236">
    <cfRule type="cellIs" dxfId="1" priority="1097" operator="lessThan">
      <formula>50</formula>
    </cfRule>
  </conditionalFormatting>
  <conditionalFormatting sqref="M23:M27">
    <cfRule type="cellIs" dxfId="1" priority="143" operator="lessThan">
      <formula>50</formula>
    </cfRule>
  </conditionalFormatting>
  <conditionalFormatting sqref="M26:M30">
    <cfRule type="cellIs" dxfId="1" priority="165" operator="lessThan">
      <formula>50</formula>
    </cfRule>
  </conditionalFormatting>
  <conditionalFormatting sqref="M29:M33">
    <cfRule type="cellIs" dxfId="1" priority="187" operator="lessThan">
      <formula>50</formula>
    </cfRule>
  </conditionalFormatting>
  <conditionalFormatting sqref="M32:M36">
    <cfRule type="cellIs" dxfId="1" priority="209" operator="lessThan">
      <formula>50</formula>
    </cfRule>
  </conditionalFormatting>
  <conditionalFormatting sqref="M55:M59">
    <cfRule type="cellIs" dxfId="1" priority="233" operator="lessThan">
      <formula>50</formula>
    </cfRule>
  </conditionalFormatting>
  <conditionalFormatting sqref="M58:M62">
    <cfRule type="cellIs" dxfId="1" priority="255" operator="lessThan">
      <formula>50</formula>
    </cfRule>
  </conditionalFormatting>
  <conditionalFormatting sqref="M5:M9">
    <cfRule type="cellIs" dxfId="1" priority="11" operator="lessThan">
      <formula>50</formula>
    </cfRule>
  </conditionalFormatting>
  <conditionalFormatting sqref="M61:M65">
    <cfRule type="cellIs" dxfId="1" priority="277" operator="lessThan">
      <formula>50</formula>
    </cfRule>
  </conditionalFormatting>
  <conditionalFormatting sqref="M64:M68">
    <cfRule type="cellIs" dxfId="1" priority="299" operator="lessThan">
      <formula>50</formula>
    </cfRule>
  </conditionalFormatting>
  <conditionalFormatting sqref="M67:M71">
    <cfRule type="cellIs" dxfId="1" priority="321" operator="lessThan">
      <formula>50</formula>
    </cfRule>
  </conditionalFormatting>
  <conditionalFormatting sqref="M70:M74">
    <cfRule type="cellIs" dxfId="1" priority="343" operator="lessThan">
      <formula>50</formula>
    </cfRule>
  </conditionalFormatting>
  <conditionalFormatting sqref="M73:M77">
    <cfRule type="cellIs" dxfId="1" priority="365" operator="lessThan">
      <formula>50</formula>
    </cfRule>
  </conditionalFormatting>
  <conditionalFormatting sqref="M76:M80">
    <cfRule type="cellIs" dxfId="1" priority="387" operator="lessThan">
      <formula>50</formula>
    </cfRule>
  </conditionalFormatting>
  <conditionalFormatting sqref="M79:M83">
    <cfRule type="cellIs" dxfId="1" priority="409" operator="lessThan">
      <formula>50</formula>
    </cfRule>
  </conditionalFormatting>
  <conditionalFormatting sqref="M82:M86">
    <cfRule type="cellIs" dxfId="1" priority="431" operator="lessThan">
      <formula>50</formula>
    </cfRule>
  </conditionalFormatting>
  <conditionalFormatting sqref="M8:M12">
    <cfRule type="cellIs" dxfId="1" priority="33" operator="lessThan">
      <formula>50</formula>
    </cfRule>
  </conditionalFormatting>
  <conditionalFormatting sqref="N105:N109">
    <cfRule type="cellIs" dxfId="1" priority="458" operator="equal">
      <formula>ر</formula>
    </cfRule>
  </conditionalFormatting>
  <conditionalFormatting sqref="N108:N112">
    <cfRule type="cellIs" dxfId="1" priority="480" operator="equal">
      <formula>ر</formula>
    </cfRule>
  </conditionalFormatting>
  <conditionalFormatting sqref="N111:N115">
    <cfRule type="cellIs" dxfId="1" priority="502" operator="equal">
      <formula>ر</formula>
    </cfRule>
  </conditionalFormatting>
  <conditionalFormatting sqref="N114:N118">
    <cfRule type="cellIs" dxfId="1" priority="524" operator="equal">
      <formula>ر</formula>
    </cfRule>
  </conditionalFormatting>
  <conditionalFormatting sqref="N117:N121">
    <cfRule type="cellIs" dxfId="1" priority="546" operator="equal">
      <formula>ر</formula>
    </cfRule>
  </conditionalFormatting>
  <conditionalFormatting sqref="N11:N15">
    <cfRule type="cellIs" dxfId="1" priority="58" operator="equal">
      <formula>ر</formula>
    </cfRule>
  </conditionalFormatting>
  <conditionalFormatting sqref="N120:N124">
    <cfRule type="cellIs" dxfId="1" priority="568" operator="equal">
      <formula>ر</formula>
    </cfRule>
  </conditionalFormatting>
  <conditionalFormatting sqref="N123:N127">
    <cfRule type="cellIs" dxfId="1" priority="590" operator="equal">
      <formula>ر</formula>
    </cfRule>
  </conditionalFormatting>
  <conditionalFormatting sqref="N126:N130">
    <cfRule type="cellIs" dxfId="1" priority="612" operator="equal">
      <formula>ر</formula>
    </cfRule>
  </conditionalFormatting>
  <conditionalFormatting sqref="N129:N133">
    <cfRule type="cellIs" dxfId="1" priority="634" operator="equal">
      <formula>ر</formula>
    </cfRule>
  </conditionalFormatting>
  <conditionalFormatting sqref="N132:N136">
    <cfRule type="cellIs" dxfId="1" priority="656" operator="equal">
      <formula>ر</formula>
    </cfRule>
  </conditionalFormatting>
  <conditionalFormatting sqref="N14:N18">
    <cfRule type="cellIs" dxfId="1" priority="80" operator="equal">
      <formula>ر</formula>
    </cfRule>
  </conditionalFormatting>
  <conditionalFormatting sqref="N155:N159">
    <cfRule type="cellIs" dxfId="1" priority="680" operator="equal">
      <formula>ر</formula>
    </cfRule>
  </conditionalFormatting>
  <conditionalFormatting sqref="N158:N162">
    <cfRule type="cellIs" dxfId="1" priority="702" operator="equal">
      <formula>ر</formula>
    </cfRule>
  </conditionalFormatting>
  <conditionalFormatting sqref="N161:N165">
    <cfRule type="cellIs" dxfId="1" priority="724" operator="equal">
      <formula>ر</formula>
    </cfRule>
  </conditionalFormatting>
  <conditionalFormatting sqref="N164:N168">
    <cfRule type="cellIs" dxfId="1" priority="746" operator="equal">
      <formula>ر</formula>
    </cfRule>
  </conditionalFormatting>
  <conditionalFormatting sqref="N167:N171">
    <cfRule type="cellIs" dxfId="1" priority="768" operator="equal">
      <formula>ر</formula>
    </cfRule>
  </conditionalFormatting>
  <conditionalFormatting sqref="N170:N174">
    <cfRule type="cellIs" dxfId="1" priority="790" operator="equal">
      <formula>ر</formula>
    </cfRule>
  </conditionalFormatting>
  <conditionalFormatting sqref="N173:N177">
    <cfRule type="cellIs" dxfId="1" priority="812" operator="equal">
      <formula>ر</formula>
    </cfRule>
  </conditionalFormatting>
  <conditionalFormatting sqref="N176:N180">
    <cfRule type="cellIs" dxfId="1" priority="834" operator="equal">
      <formula>ر</formula>
    </cfRule>
  </conditionalFormatting>
  <conditionalFormatting sqref="N179:N183">
    <cfRule type="cellIs" dxfId="1" priority="856" operator="equal">
      <formula>ر</formula>
    </cfRule>
  </conditionalFormatting>
  <conditionalFormatting sqref="N17:N21">
    <cfRule type="cellIs" dxfId="1" priority="102" operator="equal">
      <formula>ر</formula>
    </cfRule>
  </conditionalFormatting>
  <conditionalFormatting sqref="N182:N186">
    <cfRule type="cellIs" dxfId="1" priority="878" operator="equal">
      <formula>ر</formula>
    </cfRule>
  </conditionalFormatting>
  <conditionalFormatting sqref="N205:N209">
    <cfRule type="cellIs" dxfId="1" priority="902" operator="equal">
      <formula>ر</formula>
    </cfRule>
  </conditionalFormatting>
  <conditionalFormatting sqref="N208:N212">
    <cfRule type="cellIs" dxfId="1" priority="924" operator="equal">
      <formula>ر</formula>
    </cfRule>
  </conditionalFormatting>
  <conditionalFormatting sqref="N20:N24">
    <cfRule type="cellIs" dxfId="1" priority="124" operator="equal">
      <formula>ر</formula>
    </cfRule>
  </conditionalFormatting>
  <conditionalFormatting sqref="N211:N215">
    <cfRule type="cellIs" dxfId="1" priority="946" operator="equal">
      <formula>ر</formula>
    </cfRule>
  </conditionalFormatting>
  <conditionalFormatting sqref="N214:N218">
    <cfRule type="cellIs" dxfId="1" priority="968" operator="equal">
      <formula>ر</formula>
    </cfRule>
  </conditionalFormatting>
  <conditionalFormatting sqref="N217:N221">
    <cfRule type="cellIs" dxfId="1" priority="990" operator="equal">
      <formula>ر</formula>
    </cfRule>
  </conditionalFormatting>
  <conditionalFormatting sqref="N220:N224">
    <cfRule type="cellIs" dxfId="1" priority="1012" operator="equal">
      <formula>ر</formula>
    </cfRule>
  </conditionalFormatting>
  <conditionalFormatting sqref="N223:N227">
    <cfRule type="cellIs" dxfId="1" priority="1034" operator="equal">
      <formula>ر</formula>
    </cfRule>
  </conditionalFormatting>
  <conditionalFormatting sqref="N226:N230">
    <cfRule type="cellIs" dxfId="1" priority="1056" operator="equal">
      <formula>ر</formula>
    </cfRule>
  </conditionalFormatting>
  <conditionalFormatting sqref="N229:N233">
    <cfRule type="cellIs" dxfId="1" priority="1078" operator="equal">
      <formula>ر</formula>
    </cfRule>
  </conditionalFormatting>
  <conditionalFormatting sqref="N232:N236">
    <cfRule type="cellIs" dxfId="1" priority="1100" operator="equal">
      <formula>ر</formula>
    </cfRule>
  </conditionalFormatting>
  <conditionalFormatting sqref="N23:N27">
    <cfRule type="cellIs" dxfId="1" priority="146" operator="equal">
      <formula>ر</formula>
    </cfRule>
  </conditionalFormatting>
  <conditionalFormatting sqref="N26:N30">
    <cfRule type="cellIs" dxfId="1" priority="168" operator="equal">
      <formula>ر</formula>
    </cfRule>
  </conditionalFormatting>
  <conditionalFormatting sqref="N29:N33">
    <cfRule type="cellIs" dxfId="1" priority="190" operator="equal">
      <formula>ر</formula>
    </cfRule>
  </conditionalFormatting>
  <conditionalFormatting sqref="N32:N36">
    <cfRule type="cellIs" dxfId="1" priority="212" operator="equal">
      <formula>ر</formula>
    </cfRule>
  </conditionalFormatting>
  <conditionalFormatting sqref="N55:N59">
    <cfRule type="cellIs" dxfId="1" priority="236" operator="equal">
      <formula>ر</formula>
    </cfRule>
  </conditionalFormatting>
  <conditionalFormatting sqref="N58:N62">
    <cfRule type="cellIs" dxfId="1" priority="258" operator="equal">
      <formula>ر</formula>
    </cfRule>
  </conditionalFormatting>
  <conditionalFormatting sqref="N5:N9">
    <cfRule type="cellIs" dxfId="1" priority="14" operator="equal">
      <formula>ر</formula>
    </cfRule>
  </conditionalFormatting>
  <conditionalFormatting sqref="N61:N65">
    <cfRule type="cellIs" dxfId="1" priority="280" operator="equal">
      <formula>ر</formula>
    </cfRule>
  </conditionalFormatting>
  <conditionalFormatting sqref="N64:N68">
    <cfRule type="cellIs" dxfId="1" priority="302" operator="equal">
      <formula>ر</formula>
    </cfRule>
  </conditionalFormatting>
  <conditionalFormatting sqref="N67:N71">
    <cfRule type="cellIs" dxfId="1" priority="324" operator="equal">
      <formula>ر</formula>
    </cfRule>
  </conditionalFormatting>
  <conditionalFormatting sqref="N70:N74">
    <cfRule type="cellIs" dxfId="1" priority="346" operator="equal">
      <formula>ر</formula>
    </cfRule>
  </conditionalFormatting>
  <conditionalFormatting sqref="N73:N77">
    <cfRule type="cellIs" dxfId="1" priority="368" operator="equal">
      <formula>ر</formula>
    </cfRule>
  </conditionalFormatting>
  <conditionalFormatting sqref="N76:N80">
    <cfRule type="cellIs" dxfId="1" priority="390" operator="equal">
      <formula>ر</formula>
    </cfRule>
  </conditionalFormatting>
  <conditionalFormatting sqref="N79:N83">
    <cfRule type="cellIs" dxfId="1" priority="412" operator="equal">
      <formula>ر</formula>
    </cfRule>
  </conditionalFormatting>
  <conditionalFormatting sqref="N82:N86">
    <cfRule type="cellIs" dxfId="1" priority="434" operator="equal">
      <formula>ر</formula>
    </cfRule>
  </conditionalFormatting>
  <conditionalFormatting sqref="N8:N12">
    <cfRule type="cellIs" dxfId="1" priority="36" operator="equal">
      <formula>ر</formula>
    </cfRule>
  </conditionalFormatting>
  <conditionalFormatting sqref="O105:O109">
    <cfRule type="cellIs" dxfId="1" priority="457" operator="lessThan">
      <formula>50</formula>
    </cfRule>
  </conditionalFormatting>
  <conditionalFormatting sqref="O108:O112">
    <cfRule type="cellIs" dxfId="1" priority="479" operator="lessThan">
      <formula>50</formula>
    </cfRule>
  </conditionalFormatting>
  <conditionalFormatting sqref="O111:O115">
    <cfRule type="cellIs" dxfId="1" priority="501" operator="lessThan">
      <formula>50</formula>
    </cfRule>
  </conditionalFormatting>
  <conditionalFormatting sqref="O114:O118">
    <cfRule type="cellIs" dxfId="1" priority="523" operator="lessThan">
      <formula>50</formula>
    </cfRule>
  </conditionalFormatting>
  <conditionalFormatting sqref="O117:O121">
    <cfRule type="cellIs" dxfId="1" priority="545" operator="lessThan">
      <formula>50</formula>
    </cfRule>
  </conditionalFormatting>
  <conditionalFormatting sqref="O11:O15">
    <cfRule type="cellIs" dxfId="1" priority="57" operator="lessThan">
      <formula>50</formula>
    </cfRule>
  </conditionalFormatting>
  <conditionalFormatting sqref="O120:O124">
    <cfRule type="cellIs" dxfId="1" priority="567" operator="lessThan">
      <formula>50</formula>
    </cfRule>
  </conditionalFormatting>
  <conditionalFormatting sqref="O123:O127">
    <cfRule type="cellIs" dxfId="1" priority="589" operator="lessThan">
      <formula>50</formula>
    </cfRule>
  </conditionalFormatting>
  <conditionalFormatting sqref="O126:O130">
    <cfRule type="cellIs" dxfId="1" priority="611" operator="lessThan">
      <formula>50</formula>
    </cfRule>
  </conditionalFormatting>
  <conditionalFormatting sqref="O129:O133">
    <cfRule type="cellIs" dxfId="1" priority="633" operator="lessThan">
      <formula>50</formula>
    </cfRule>
  </conditionalFormatting>
  <conditionalFormatting sqref="O132:O136">
    <cfRule type="cellIs" dxfId="1" priority="655" operator="lessThan">
      <formula>50</formula>
    </cfRule>
  </conditionalFormatting>
  <conditionalFormatting sqref="O14:O18">
    <cfRule type="cellIs" dxfId="1" priority="79" operator="lessThan">
      <formula>50</formula>
    </cfRule>
  </conditionalFormatting>
  <conditionalFormatting sqref="O155:O159">
    <cfRule type="cellIs" dxfId="1" priority="679" operator="lessThan">
      <formula>50</formula>
    </cfRule>
  </conditionalFormatting>
  <conditionalFormatting sqref="O158:O162">
    <cfRule type="cellIs" dxfId="1" priority="701" operator="lessThan">
      <formula>50</formula>
    </cfRule>
  </conditionalFormatting>
  <conditionalFormatting sqref="O161:O165">
    <cfRule type="cellIs" dxfId="1" priority="723" operator="lessThan">
      <formula>50</formula>
    </cfRule>
  </conditionalFormatting>
  <conditionalFormatting sqref="O164:O168">
    <cfRule type="cellIs" dxfId="1" priority="745" operator="lessThan">
      <formula>50</formula>
    </cfRule>
  </conditionalFormatting>
  <conditionalFormatting sqref="O167:O171">
    <cfRule type="cellIs" dxfId="1" priority="767" operator="lessThan">
      <formula>50</formula>
    </cfRule>
  </conditionalFormatting>
  <conditionalFormatting sqref="O170:O174">
    <cfRule type="cellIs" dxfId="1" priority="789" operator="lessThan">
      <formula>50</formula>
    </cfRule>
  </conditionalFormatting>
  <conditionalFormatting sqref="O173:O177">
    <cfRule type="cellIs" dxfId="1" priority="811" operator="lessThan">
      <formula>50</formula>
    </cfRule>
  </conditionalFormatting>
  <conditionalFormatting sqref="O176:O180">
    <cfRule type="cellIs" dxfId="1" priority="833" operator="lessThan">
      <formula>50</formula>
    </cfRule>
  </conditionalFormatting>
  <conditionalFormatting sqref="O179:O183">
    <cfRule type="cellIs" dxfId="1" priority="855" operator="lessThan">
      <formula>50</formula>
    </cfRule>
  </conditionalFormatting>
  <conditionalFormatting sqref="O17:O21">
    <cfRule type="cellIs" dxfId="1" priority="101" operator="lessThan">
      <formula>50</formula>
    </cfRule>
  </conditionalFormatting>
  <conditionalFormatting sqref="O182:O186">
    <cfRule type="cellIs" dxfId="1" priority="877" operator="lessThan">
      <formula>50</formula>
    </cfRule>
  </conditionalFormatting>
  <conditionalFormatting sqref="O205:O209">
    <cfRule type="cellIs" dxfId="1" priority="901" operator="lessThan">
      <formula>50</formula>
    </cfRule>
  </conditionalFormatting>
  <conditionalFormatting sqref="O208:O212">
    <cfRule type="cellIs" dxfId="1" priority="923" operator="lessThan">
      <formula>50</formula>
    </cfRule>
  </conditionalFormatting>
  <conditionalFormatting sqref="O20:O24">
    <cfRule type="cellIs" dxfId="1" priority="123" operator="lessThan">
      <formula>50</formula>
    </cfRule>
  </conditionalFormatting>
  <conditionalFormatting sqref="O211:O215">
    <cfRule type="cellIs" dxfId="1" priority="945" operator="lessThan">
      <formula>50</formula>
    </cfRule>
  </conditionalFormatting>
  <conditionalFormatting sqref="O214:O218">
    <cfRule type="cellIs" dxfId="1" priority="967" operator="lessThan">
      <formula>50</formula>
    </cfRule>
  </conditionalFormatting>
  <conditionalFormatting sqref="O217:O221">
    <cfRule type="cellIs" dxfId="1" priority="989" operator="lessThan">
      <formula>50</formula>
    </cfRule>
  </conditionalFormatting>
  <conditionalFormatting sqref="O220:O224">
    <cfRule type="cellIs" dxfId="1" priority="1011" operator="lessThan">
      <formula>50</formula>
    </cfRule>
  </conditionalFormatting>
  <conditionalFormatting sqref="O223:O227">
    <cfRule type="cellIs" dxfId="1" priority="1033" operator="lessThan">
      <formula>50</formula>
    </cfRule>
  </conditionalFormatting>
  <conditionalFormatting sqref="O226:O230">
    <cfRule type="cellIs" dxfId="1" priority="1055" operator="lessThan">
      <formula>50</formula>
    </cfRule>
  </conditionalFormatting>
  <conditionalFormatting sqref="O229:O233">
    <cfRule type="cellIs" dxfId="1" priority="1077" operator="lessThan">
      <formula>50</formula>
    </cfRule>
  </conditionalFormatting>
  <conditionalFormatting sqref="O232:O236">
    <cfRule type="cellIs" dxfId="1" priority="1099" operator="lessThan">
      <formula>50</formula>
    </cfRule>
  </conditionalFormatting>
  <conditionalFormatting sqref="O23:O27">
    <cfRule type="cellIs" dxfId="1" priority="145" operator="lessThan">
      <formula>50</formula>
    </cfRule>
  </conditionalFormatting>
  <conditionalFormatting sqref="O26:O30">
    <cfRule type="cellIs" dxfId="1" priority="167" operator="lessThan">
      <formula>50</formula>
    </cfRule>
  </conditionalFormatting>
  <conditionalFormatting sqref="O29:O33">
    <cfRule type="cellIs" dxfId="1" priority="189" operator="lessThan">
      <formula>50</formula>
    </cfRule>
  </conditionalFormatting>
  <conditionalFormatting sqref="O32:O36">
    <cfRule type="cellIs" dxfId="1" priority="211" operator="lessThan">
      <formula>50</formula>
    </cfRule>
  </conditionalFormatting>
  <conditionalFormatting sqref="O55:O59">
    <cfRule type="cellIs" dxfId="1" priority="235" operator="lessThan">
      <formula>50</formula>
    </cfRule>
  </conditionalFormatting>
  <conditionalFormatting sqref="O58:O62">
    <cfRule type="cellIs" dxfId="1" priority="257" operator="lessThan">
      <formula>50</formula>
    </cfRule>
  </conditionalFormatting>
  <conditionalFormatting sqref="O5:O9">
    <cfRule type="cellIs" dxfId="1" priority="13" operator="lessThan">
      <formula>50</formula>
    </cfRule>
  </conditionalFormatting>
  <conditionalFormatting sqref="O61:O65">
    <cfRule type="cellIs" dxfId="1" priority="279" operator="lessThan">
      <formula>50</formula>
    </cfRule>
  </conditionalFormatting>
  <conditionalFormatting sqref="O64:O68">
    <cfRule type="cellIs" dxfId="1" priority="301" operator="lessThan">
      <formula>50</formula>
    </cfRule>
  </conditionalFormatting>
  <conditionalFormatting sqref="O67:O71">
    <cfRule type="cellIs" dxfId="1" priority="323" operator="lessThan">
      <formula>50</formula>
    </cfRule>
  </conditionalFormatting>
  <conditionalFormatting sqref="O70:O74">
    <cfRule type="cellIs" dxfId="1" priority="345" operator="lessThan">
      <formula>50</formula>
    </cfRule>
  </conditionalFormatting>
  <conditionalFormatting sqref="O73:O77">
    <cfRule type="cellIs" dxfId="1" priority="367" operator="lessThan">
      <formula>50</formula>
    </cfRule>
  </conditionalFormatting>
  <conditionalFormatting sqref="O76:O80">
    <cfRule type="cellIs" dxfId="1" priority="389" operator="lessThan">
      <formula>50</formula>
    </cfRule>
  </conditionalFormatting>
  <conditionalFormatting sqref="O79:O83">
    <cfRule type="cellIs" dxfId="1" priority="411" operator="lessThan">
      <formula>50</formula>
    </cfRule>
  </conditionalFormatting>
  <conditionalFormatting sqref="O82:O86">
    <cfRule type="cellIs" dxfId="1" priority="433" operator="lessThan">
      <formula>50</formula>
    </cfRule>
  </conditionalFormatting>
  <conditionalFormatting sqref="O8:O12">
    <cfRule type="cellIs" dxfId="1" priority="35" operator="lessThan">
      <formula>50</formula>
    </cfRule>
  </conditionalFormatting>
  <conditionalFormatting sqref="P105:P109">
    <cfRule type="cellIs" dxfId="1" priority="460" operator="equal">
      <formula>ر</formula>
    </cfRule>
  </conditionalFormatting>
  <conditionalFormatting sqref="P108:P112">
    <cfRule type="cellIs" dxfId="1" priority="482" operator="equal">
      <formula>ر</formula>
    </cfRule>
  </conditionalFormatting>
  <conditionalFormatting sqref="P111:P115">
    <cfRule type="cellIs" dxfId="1" priority="504" operator="equal">
      <formula>ر</formula>
    </cfRule>
  </conditionalFormatting>
  <conditionalFormatting sqref="P114:P118">
    <cfRule type="cellIs" dxfId="1" priority="526" operator="equal">
      <formula>ر</formula>
    </cfRule>
  </conditionalFormatting>
  <conditionalFormatting sqref="P117:P121">
    <cfRule type="cellIs" dxfId="1" priority="548" operator="equal">
      <formula>ر</formula>
    </cfRule>
  </conditionalFormatting>
  <conditionalFormatting sqref="P11:P15">
    <cfRule type="cellIs" dxfId="1" priority="60" operator="equal">
      <formula>ر</formula>
    </cfRule>
  </conditionalFormatting>
  <conditionalFormatting sqref="P120:P124">
    <cfRule type="cellIs" dxfId="1" priority="570" operator="equal">
      <formula>ر</formula>
    </cfRule>
  </conditionalFormatting>
  <conditionalFormatting sqref="P123:P127">
    <cfRule type="cellIs" dxfId="1" priority="592" operator="equal">
      <formula>ر</formula>
    </cfRule>
  </conditionalFormatting>
  <conditionalFormatting sqref="P126:P130">
    <cfRule type="cellIs" dxfId="1" priority="614" operator="equal">
      <formula>ر</formula>
    </cfRule>
  </conditionalFormatting>
  <conditionalFormatting sqref="P129:P133">
    <cfRule type="cellIs" dxfId="1" priority="636" operator="equal">
      <formula>ر</formula>
    </cfRule>
  </conditionalFormatting>
  <conditionalFormatting sqref="P132:P136">
    <cfRule type="cellIs" dxfId="1" priority="658" operator="equal">
      <formula>ر</formula>
    </cfRule>
  </conditionalFormatting>
  <conditionalFormatting sqref="P14:P18">
    <cfRule type="cellIs" dxfId="1" priority="82" operator="equal">
      <formula>ر</formula>
    </cfRule>
  </conditionalFormatting>
  <conditionalFormatting sqref="P155:P159">
    <cfRule type="cellIs" dxfId="1" priority="682" operator="equal">
      <formula>ر</formula>
    </cfRule>
  </conditionalFormatting>
  <conditionalFormatting sqref="P158:P162">
    <cfRule type="cellIs" dxfId="1" priority="704" operator="equal">
      <formula>ر</formula>
    </cfRule>
  </conditionalFormatting>
  <conditionalFormatting sqref="P161:P165">
    <cfRule type="cellIs" dxfId="1" priority="726" operator="equal">
      <formula>ر</formula>
    </cfRule>
  </conditionalFormatting>
  <conditionalFormatting sqref="P164:P168">
    <cfRule type="cellIs" dxfId="1" priority="748" operator="equal">
      <formula>ر</formula>
    </cfRule>
  </conditionalFormatting>
  <conditionalFormatting sqref="P167:P171">
    <cfRule type="cellIs" dxfId="1" priority="770" operator="equal">
      <formula>ر</formula>
    </cfRule>
  </conditionalFormatting>
  <conditionalFormatting sqref="P170:P174">
    <cfRule type="cellIs" dxfId="1" priority="792" operator="equal">
      <formula>ر</formula>
    </cfRule>
  </conditionalFormatting>
  <conditionalFormatting sqref="P173:P177">
    <cfRule type="cellIs" dxfId="1" priority="814" operator="equal">
      <formula>ر</formula>
    </cfRule>
  </conditionalFormatting>
  <conditionalFormatting sqref="P176:P180">
    <cfRule type="cellIs" dxfId="1" priority="836" operator="equal">
      <formula>ر</formula>
    </cfRule>
  </conditionalFormatting>
  <conditionalFormatting sqref="P179:P183">
    <cfRule type="cellIs" dxfId="1" priority="858" operator="equal">
      <formula>ر</formula>
    </cfRule>
  </conditionalFormatting>
  <conditionalFormatting sqref="P17:P21">
    <cfRule type="cellIs" dxfId="1" priority="104" operator="equal">
      <formula>ر</formula>
    </cfRule>
  </conditionalFormatting>
  <conditionalFormatting sqref="P182:P186">
    <cfRule type="cellIs" dxfId="1" priority="880" operator="equal">
      <formula>ر</formula>
    </cfRule>
  </conditionalFormatting>
  <conditionalFormatting sqref="P205:P209">
    <cfRule type="cellIs" dxfId="1" priority="904" operator="equal">
      <formula>ر</formula>
    </cfRule>
  </conditionalFormatting>
  <conditionalFormatting sqref="P208:P212">
    <cfRule type="cellIs" dxfId="1" priority="926" operator="equal">
      <formula>ر</formula>
    </cfRule>
  </conditionalFormatting>
  <conditionalFormatting sqref="P20:P24">
    <cfRule type="cellIs" dxfId="1" priority="126" operator="equal">
      <formula>ر</formula>
    </cfRule>
  </conditionalFormatting>
  <conditionalFormatting sqref="P211:P215">
    <cfRule type="cellIs" dxfId="1" priority="948" operator="equal">
      <formula>ر</formula>
    </cfRule>
  </conditionalFormatting>
  <conditionalFormatting sqref="P214:P218">
    <cfRule type="cellIs" dxfId="1" priority="970" operator="equal">
      <formula>ر</formula>
    </cfRule>
  </conditionalFormatting>
  <conditionalFormatting sqref="P217:P221">
    <cfRule type="cellIs" dxfId="1" priority="992" operator="equal">
      <formula>ر</formula>
    </cfRule>
  </conditionalFormatting>
  <conditionalFormatting sqref="P220:P224">
    <cfRule type="cellIs" dxfId="1" priority="1014" operator="equal">
      <formula>ر</formula>
    </cfRule>
  </conditionalFormatting>
  <conditionalFormatting sqref="P223:P227">
    <cfRule type="cellIs" dxfId="1" priority="1036" operator="equal">
      <formula>ر</formula>
    </cfRule>
  </conditionalFormatting>
  <conditionalFormatting sqref="P226:P230">
    <cfRule type="cellIs" dxfId="1" priority="1058" operator="equal">
      <formula>ر</formula>
    </cfRule>
  </conditionalFormatting>
  <conditionalFormatting sqref="P229:P233">
    <cfRule type="cellIs" dxfId="1" priority="1080" operator="equal">
      <formula>ر</formula>
    </cfRule>
  </conditionalFormatting>
  <conditionalFormatting sqref="P232:P236">
    <cfRule type="cellIs" dxfId="1" priority="1102" operator="equal">
      <formula>ر</formula>
    </cfRule>
  </conditionalFormatting>
  <conditionalFormatting sqref="P23:P27">
    <cfRule type="cellIs" dxfId="1" priority="148" operator="equal">
      <formula>ر</formula>
    </cfRule>
  </conditionalFormatting>
  <conditionalFormatting sqref="P26:P30">
    <cfRule type="cellIs" dxfId="1" priority="170" operator="equal">
      <formula>ر</formula>
    </cfRule>
  </conditionalFormatting>
  <conditionalFormatting sqref="P29:P33">
    <cfRule type="cellIs" dxfId="1" priority="192" operator="equal">
      <formula>ر</formula>
    </cfRule>
  </conditionalFormatting>
  <conditionalFormatting sqref="P32:P36">
    <cfRule type="cellIs" dxfId="1" priority="214" operator="equal">
      <formula>ر</formula>
    </cfRule>
  </conditionalFormatting>
  <conditionalFormatting sqref="P55:P59">
    <cfRule type="cellIs" dxfId="1" priority="238" operator="equal">
      <formula>ر</formula>
    </cfRule>
  </conditionalFormatting>
  <conditionalFormatting sqref="P58:P62">
    <cfRule type="cellIs" dxfId="1" priority="260" operator="equal">
      <formula>ر</formula>
    </cfRule>
  </conditionalFormatting>
  <conditionalFormatting sqref="P5:P9">
    <cfRule type="cellIs" dxfId="1" priority="16" operator="equal">
      <formula>ر</formula>
    </cfRule>
  </conditionalFormatting>
  <conditionalFormatting sqref="P61:P65">
    <cfRule type="cellIs" dxfId="1" priority="282" operator="equal">
      <formula>ر</formula>
    </cfRule>
  </conditionalFormatting>
  <conditionalFormatting sqref="P64:P68">
    <cfRule type="cellIs" dxfId="1" priority="304" operator="equal">
      <formula>ر</formula>
    </cfRule>
  </conditionalFormatting>
  <conditionalFormatting sqref="P67:P71">
    <cfRule type="cellIs" dxfId="1" priority="326" operator="equal">
      <formula>ر</formula>
    </cfRule>
  </conditionalFormatting>
  <conditionalFormatting sqref="P70:P74">
    <cfRule type="cellIs" dxfId="1" priority="348" operator="equal">
      <formula>ر</formula>
    </cfRule>
  </conditionalFormatting>
  <conditionalFormatting sqref="P73:P77">
    <cfRule type="cellIs" dxfId="1" priority="370" operator="equal">
      <formula>ر</formula>
    </cfRule>
  </conditionalFormatting>
  <conditionalFormatting sqref="P76:P80">
    <cfRule type="cellIs" dxfId="1" priority="392" operator="equal">
      <formula>ر</formula>
    </cfRule>
  </conditionalFormatting>
  <conditionalFormatting sqref="P79:P83">
    <cfRule type="cellIs" dxfId="1" priority="414" operator="equal">
      <formula>ر</formula>
    </cfRule>
  </conditionalFormatting>
  <conditionalFormatting sqref="P82:P86">
    <cfRule type="cellIs" dxfId="1" priority="436" operator="equal">
      <formula>ر</formula>
    </cfRule>
  </conditionalFormatting>
  <conditionalFormatting sqref="P8:P12">
    <cfRule type="cellIs" dxfId="1" priority="38" operator="equal">
      <formula>ر</formula>
    </cfRule>
  </conditionalFormatting>
  <conditionalFormatting sqref="Q105:Q109">
    <cfRule type="cellIs" dxfId="1" priority="459" operator="lessThan">
      <formula>50</formula>
    </cfRule>
  </conditionalFormatting>
  <conditionalFormatting sqref="Q108:Q112">
    <cfRule type="cellIs" dxfId="1" priority="481" operator="lessThan">
      <formula>50</formula>
    </cfRule>
  </conditionalFormatting>
  <conditionalFormatting sqref="Q111:Q115">
    <cfRule type="cellIs" dxfId="1" priority="503" operator="lessThan">
      <formula>50</formula>
    </cfRule>
  </conditionalFormatting>
  <conditionalFormatting sqref="Q114:Q118">
    <cfRule type="cellIs" dxfId="1" priority="525" operator="lessThan">
      <formula>50</formula>
    </cfRule>
  </conditionalFormatting>
  <conditionalFormatting sqref="Q117:Q121">
    <cfRule type="cellIs" dxfId="1" priority="547" operator="lessThan">
      <formula>50</formula>
    </cfRule>
  </conditionalFormatting>
  <conditionalFormatting sqref="Q11:Q15">
    <cfRule type="cellIs" dxfId="1" priority="59" operator="lessThan">
      <formula>50</formula>
    </cfRule>
  </conditionalFormatting>
  <conditionalFormatting sqref="Q120:Q124">
    <cfRule type="cellIs" dxfId="1" priority="569" operator="lessThan">
      <formula>50</formula>
    </cfRule>
  </conditionalFormatting>
  <conditionalFormatting sqref="Q123:Q127">
    <cfRule type="cellIs" dxfId="1" priority="591" operator="lessThan">
      <formula>50</formula>
    </cfRule>
  </conditionalFormatting>
  <conditionalFormatting sqref="Q126:Q130">
    <cfRule type="cellIs" dxfId="1" priority="613" operator="lessThan">
      <formula>50</formula>
    </cfRule>
  </conditionalFormatting>
  <conditionalFormatting sqref="Q129:Q133">
    <cfRule type="cellIs" dxfId="1" priority="635" operator="lessThan">
      <formula>50</formula>
    </cfRule>
  </conditionalFormatting>
  <conditionalFormatting sqref="Q132:Q136">
    <cfRule type="cellIs" dxfId="1" priority="657" operator="lessThan">
      <formula>50</formula>
    </cfRule>
  </conditionalFormatting>
  <conditionalFormatting sqref="Q14:Q18">
    <cfRule type="cellIs" dxfId="1" priority="81" operator="lessThan">
      <formula>50</formula>
    </cfRule>
  </conditionalFormatting>
  <conditionalFormatting sqref="Q155:Q159">
    <cfRule type="cellIs" dxfId="1" priority="681" operator="lessThan">
      <formula>50</formula>
    </cfRule>
  </conditionalFormatting>
  <conditionalFormatting sqref="Q158:Q162">
    <cfRule type="cellIs" dxfId="1" priority="703" operator="lessThan">
      <formula>50</formula>
    </cfRule>
  </conditionalFormatting>
  <conditionalFormatting sqref="Q161:Q165">
    <cfRule type="cellIs" dxfId="1" priority="725" operator="lessThan">
      <formula>50</formula>
    </cfRule>
  </conditionalFormatting>
  <conditionalFormatting sqref="Q164:Q168">
    <cfRule type="cellIs" dxfId="1" priority="747" operator="lessThan">
      <formula>50</formula>
    </cfRule>
  </conditionalFormatting>
  <conditionalFormatting sqref="Q167:Q171">
    <cfRule type="cellIs" dxfId="1" priority="769" operator="lessThan">
      <formula>50</formula>
    </cfRule>
  </conditionalFormatting>
  <conditionalFormatting sqref="Q170:Q174">
    <cfRule type="cellIs" dxfId="1" priority="791" operator="lessThan">
      <formula>50</formula>
    </cfRule>
  </conditionalFormatting>
  <conditionalFormatting sqref="Q173:Q177">
    <cfRule type="cellIs" dxfId="1" priority="813" operator="lessThan">
      <formula>50</formula>
    </cfRule>
  </conditionalFormatting>
  <conditionalFormatting sqref="Q176:Q180">
    <cfRule type="cellIs" dxfId="1" priority="835" operator="lessThan">
      <formula>50</formula>
    </cfRule>
  </conditionalFormatting>
  <conditionalFormatting sqref="Q179:Q183">
    <cfRule type="cellIs" dxfId="1" priority="857" operator="lessThan">
      <formula>50</formula>
    </cfRule>
  </conditionalFormatting>
  <conditionalFormatting sqref="Q17:Q21">
    <cfRule type="cellIs" dxfId="1" priority="103" operator="lessThan">
      <formula>50</formula>
    </cfRule>
  </conditionalFormatting>
  <conditionalFormatting sqref="Q182:Q186">
    <cfRule type="cellIs" dxfId="1" priority="879" operator="lessThan">
      <formula>50</formula>
    </cfRule>
  </conditionalFormatting>
  <conditionalFormatting sqref="Q205:Q209">
    <cfRule type="cellIs" dxfId="1" priority="903" operator="lessThan">
      <formula>50</formula>
    </cfRule>
  </conditionalFormatting>
  <conditionalFormatting sqref="Q208:Q212">
    <cfRule type="cellIs" dxfId="1" priority="925" operator="lessThan">
      <formula>50</formula>
    </cfRule>
  </conditionalFormatting>
  <conditionalFormatting sqref="Q20:Q24">
    <cfRule type="cellIs" dxfId="1" priority="125" operator="lessThan">
      <formula>50</formula>
    </cfRule>
  </conditionalFormatting>
  <conditionalFormatting sqref="Q211:Q215">
    <cfRule type="cellIs" dxfId="1" priority="947" operator="lessThan">
      <formula>50</formula>
    </cfRule>
  </conditionalFormatting>
  <conditionalFormatting sqref="Q214:Q218">
    <cfRule type="cellIs" dxfId="1" priority="969" operator="lessThan">
      <formula>50</formula>
    </cfRule>
  </conditionalFormatting>
  <conditionalFormatting sqref="Q217:Q221">
    <cfRule type="cellIs" dxfId="1" priority="991" operator="lessThan">
      <formula>50</formula>
    </cfRule>
  </conditionalFormatting>
  <conditionalFormatting sqref="Q220:Q224">
    <cfRule type="cellIs" dxfId="1" priority="1013" operator="lessThan">
      <formula>50</formula>
    </cfRule>
  </conditionalFormatting>
  <conditionalFormatting sqref="Q223:Q227">
    <cfRule type="cellIs" dxfId="1" priority="1035" operator="lessThan">
      <formula>50</formula>
    </cfRule>
  </conditionalFormatting>
  <conditionalFormatting sqref="Q226:Q230">
    <cfRule type="cellIs" dxfId="1" priority="1057" operator="lessThan">
      <formula>50</formula>
    </cfRule>
  </conditionalFormatting>
  <conditionalFormatting sqref="Q229:Q233">
    <cfRule type="cellIs" dxfId="1" priority="1079" operator="lessThan">
      <formula>50</formula>
    </cfRule>
  </conditionalFormatting>
  <conditionalFormatting sqref="Q232:Q236">
    <cfRule type="cellIs" dxfId="1" priority="1101" operator="lessThan">
      <formula>50</formula>
    </cfRule>
  </conditionalFormatting>
  <conditionalFormatting sqref="Q23:Q27">
    <cfRule type="cellIs" dxfId="1" priority="147" operator="lessThan">
      <formula>50</formula>
    </cfRule>
  </conditionalFormatting>
  <conditionalFormatting sqref="Q26:Q30">
    <cfRule type="cellIs" dxfId="1" priority="169" operator="lessThan">
      <formula>50</formula>
    </cfRule>
  </conditionalFormatting>
  <conditionalFormatting sqref="Q29:Q33">
    <cfRule type="cellIs" dxfId="1" priority="191" operator="lessThan">
      <formula>50</formula>
    </cfRule>
  </conditionalFormatting>
  <conditionalFormatting sqref="Q32:Q36">
    <cfRule type="cellIs" dxfId="1" priority="213" operator="lessThan">
      <formula>50</formula>
    </cfRule>
  </conditionalFormatting>
  <conditionalFormatting sqref="Q55:Q59">
    <cfRule type="cellIs" dxfId="1" priority="237" operator="lessThan">
      <formula>50</formula>
    </cfRule>
  </conditionalFormatting>
  <conditionalFormatting sqref="Q58:Q62">
    <cfRule type="cellIs" dxfId="1" priority="259" operator="lessThan">
      <formula>50</formula>
    </cfRule>
  </conditionalFormatting>
  <conditionalFormatting sqref="Q5:Q9">
    <cfRule type="cellIs" dxfId="1" priority="15" operator="lessThan">
      <formula>50</formula>
    </cfRule>
  </conditionalFormatting>
  <conditionalFormatting sqref="Q61:Q65">
    <cfRule type="cellIs" dxfId="1" priority="281" operator="lessThan">
      <formula>50</formula>
    </cfRule>
  </conditionalFormatting>
  <conditionalFormatting sqref="Q64:Q68">
    <cfRule type="cellIs" dxfId="1" priority="303" operator="lessThan">
      <formula>50</formula>
    </cfRule>
  </conditionalFormatting>
  <conditionalFormatting sqref="Q67:Q71">
    <cfRule type="cellIs" dxfId="1" priority="325" operator="lessThan">
      <formula>50</formula>
    </cfRule>
  </conditionalFormatting>
  <conditionalFormatting sqref="Q70:Q74">
    <cfRule type="cellIs" dxfId="1" priority="347" operator="lessThan">
      <formula>50</formula>
    </cfRule>
  </conditionalFormatting>
  <conditionalFormatting sqref="Q73:Q77">
    <cfRule type="cellIs" dxfId="1" priority="369" operator="lessThan">
      <formula>50</formula>
    </cfRule>
  </conditionalFormatting>
  <conditionalFormatting sqref="Q76:Q80">
    <cfRule type="cellIs" dxfId="1" priority="391" operator="lessThan">
      <formula>50</formula>
    </cfRule>
  </conditionalFormatting>
  <conditionalFormatting sqref="Q79:Q83">
    <cfRule type="cellIs" dxfId="1" priority="413" operator="lessThan">
      <formula>50</formula>
    </cfRule>
  </conditionalFormatting>
  <conditionalFormatting sqref="Q82:Q86">
    <cfRule type="cellIs" dxfId="1" priority="435" operator="lessThan">
      <formula>50</formula>
    </cfRule>
  </conditionalFormatting>
  <conditionalFormatting sqref="Q8:Q12">
    <cfRule type="cellIs" dxfId="1" priority="37" operator="lessThan">
      <formula>50</formula>
    </cfRule>
  </conditionalFormatting>
  <conditionalFormatting sqref="R105:R109">
    <cfRule type="cellIs" dxfId="1" priority="462" operator="equal">
      <formula>ر</formula>
    </cfRule>
  </conditionalFormatting>
  <conditionalFormatting sqref="R108:R112">
    <cfRule type="cellIs" dxfId="1" priority="484" operator="equal">
      <formula>ر</formula>
    </cfRule>
  </conditionalFormatting>
  <conditionalFormatting sqref="R111:R115">
    <cfRule type="cellIs" dxfId="1" priority="506" operator="equal">
      <formula>ر</formula>
    </cfRule>
  </conditionalFormatting>
  <conditionalFormatting sqref="R114:R118">
    <cfRule type="cellIs" dxfId="1" priority="528" operator="equal">
      <formula>ر</formula>
    </cfRule>
  </conditionalFormatting>
  <conditionalFormatting sqref="R117:R121">
    <cfRule type="cellIs" dxfId="1" priority="550" operator="equal">
      <formula>ر</formula>
    </cfRule>
  </conditionalFormatting>
  <conditionalFormatting sqref="R11:R15">
    <cfRule type="cellIs" dxfId="1" priority="62" operator="equal">
      <formula>ر</formula>
    </cfRule>
  </conditionalFormatting>
  <conditionalFormatting sqref="R120:R124">
    <cfRule type="cellIs" dxfId="1" priority="572" operator="equal">
      <formula>ر</formula>
    </cfRule>
  </conditionalFormatting>
  <conditionalFormatting sqref="R123:R127">
    <cfRule type="cellIs" dxfId="1" priority="594" operator="equal">
      <formula>ر</formula>
    </cfRule>
  </conditionalFormatting>
  <conditionalFormatting sqref="R126:R130">
    <cfRule type="cellIs" dxfId="1" priority="616" operator="equal">
      <formula>ر</formula>
    </cfRule>
  </conditionalFormatting>
  <conditionalFormatting sqref="R129:R133">
    <cfRule type="cellIs" dxfId="1" priority="638" operator="equal">
      <formula>ر</formula>
    </cfRule>
  </conditionalFormatting>
  <conditionalFormatting sqref="R132:R136">
    <cfRule type="cellIs" dxfId="1" priority="660" operator="equal">
      <formula>ر</formula>
    </cfRule>
  </conditionalFormatting>
  <conditionalFormatting sqref="R14:R18">
    <cfRule type="cellIs" dxfId="1" priority="84" operator="equal">
      <formula>ر</formula>
    </cfRule>
  </conditionalFormatting>
  <conditionalFormatting sqref="R155:R159">
    <cfRule type="cellIs" dxfId="1" priority="684" operator="equal">
      <formula>ر</formula>
    </cfRule>
  </conditionalFormatting>
  <conditionalFormatting sqref="R158:R162">
    <cfRule type="cellIs" dxfId="1" priority="706" operator="equal">
      <formula>ر</formula>
    </cfRule>
  </conditionalFormatting>
  <conditionalFormatting sqref="R161:R165">
    <cfRule type="cellIs" dxfId="1" priority="728" operator="equal">
      <formula>ر</formula>
    </cfRule>
  </conditionalFormatting>
  <conditionalFormatting sqref="R164:R168">
    <cfRule type="cellIs" dxfId="1" priority="750" operator="equal">
      <formula>ر</formula>
    </cfRule>
  </conditionalFormatting>
  <conditionalFormatting sqref="R167:R171">
    <cfRule type="cellIs" dxfId="1" priority="772" operator="equal">
      <formula>ر</formula>
    </cfRule>
  </conditionalFormatting>
  <conditionalFormatting sqref="R170:R174">
    <cfRule type="cellIs" dxfId="1" priority="794" operator="equal">
      <formula>ر</formula>
    </cfRule>
  </conditionalFormatting>
  <conditionalFormatting sqref="R173:R177">
    <cfRule type="cellIs" dxfId="1" priority="816" operator="equal">
      <formula>ر</formula>
    </cfRule>
  </conditionalFormatting>
  <conditionalFormatting sqref="R176:R180">
    <cfRule type="cellIs" dxfId="1" priority="838" operator="equal">
      <formula>ر</formula>
    </cfRule>
  </conditionalFormatting>
  <conditionalFormatting sqref="R179:R183">
    <cfRule type="cellIs" dxfId="1" priority="860" operator="equal">
      <formula>ر</formula>
    </cfRule>
  </conditionalFormatting>
  <conditionalFormatting sqref="R17:R21">
    <cfRule type="cellIs" dxfId="1" priority="106" operator="equal">
      <formula>ر</formula>
    </cfRule>
  </conditionalFormatting>
  <conditionalFormatting sqref="R182:R186">
    <cfRule type="cellIs" dxfId="1" priority="882" operator="equal">
      <formula>ر</formula>
    </cfRule>
  </conditionalFormatting>
  <conditionalFormatting sqref="R205:R209">
    <cfRule type="cellIs" dxfId="1" priority="906" operator="equal">
      <formula>ر</formula>
    </cfRule>
  </conditionalFormatting>
  <conditionalFormatting sqref="R208:R212">
    <cfRule type="cellIs" dxfId="1" priority="928" operator="equal">
      <formula>ر</formula>
    </cfRule>
  </conditionalFormatting>
  <conditionalFormatting sqref="R20:R24">
    <cfRule type="cellIs" dxfId="1" priority="128" operator="equal">
      <formula>ر</formula>
    </cfRule>
  </conditionalFormatting>
  <conditionalFormatting sqref="R211:R215">
    <cfRule type="cellIs" dxfId="1" priority="950" operator="equal">
      <formula>ر</formula>
    </cfRule>
  </conditionalFormatting>
  <conditionalFormatting sqref="R214:R218">
    <cfRule type="cellIs" dxfId="1" priority="972" operator="equal">
      <formula>ر</formula>
    </cfRule>
  </conditionalFormatting>
  <conditionalFormatting sqref="R217:R221">
    <cfRule type="cellIs" dxfId="1" priority="994" operator="equal">
      <formula>ر</formula>
    </cfRule>
  </conditionalFormatting>
  <conditionalFormatting sqref="R220:R224">
    <cfRule type="cellIs" dxfId="1" priority="1016" operator="equal">
      <formula>ر</formula>
    </cfRule>
  </conditionalFormatting>
  <conditionalFormatting sqref="R223:R227">
    <cfRule type="cellIs" dxfId="1" priority="1038" operator="equal">
      <formula>ر</formula>
    </cfRule>
  </conditionalFormatting>
  <conditionalFormatting sqref="R226:R230">
    <cfRule type="cellIs" dxfId="1" priority="1060" operator="equal">
      <formula>ر</formula>
    </cfRule>
  </conditionalFormatting>
  <conditionalFormatting sqref="R229:R233">
    <cfRule type="cellIs" dxfId="1" priority="1082" operator="equal">
      <formula>ر</formula>
    </cfRule>
  </conditionalFormatting>
  <conditionalFormatting sqref="R232:R236">
    <cfRule type="cellIs" dxfId="1" priority="1104" operator="equal">
      <formula>ر</formula>
    </cfRule>
  </conditionalFormatting>
  <conditionalFormatting sqref="R23:R27">
    <cfRule type="cellIs" dxfId="1" priority="150" operator="equal">
      <formula>ر</formula>
    </cfRule>
  </conditionalFormatting>
  <conditionalFormatting sqref="R26:R30">
    <cfRule type="cellIs" dxfId="1" priority="172" operator="equal">
      <formula>ر</formula>
    </cfRule>
  </conditionalFormatting>
  <conditionalFormatting sqref="R29:R33">
    <cfRule type="cellIs" dxfId="1" priority="194" operator="equal">
      <formula>ر</formula>
    </cfRule>
  </conditionalFormatting>
  <conditionalFormatting sqref="R32:R36">
    <cfRule type="cellIs" dxfId="1" priority="216" operator="equal">
      <formula>ر</formula>
    </cfRule>
  </conditionalFormatting>
  <conditionalFormatting sqref="R55:R59">
    <cfRule type="cellIs" dxfId="1" priority="240" operator="equal">
      <formula>ر</formula>
    </cfRule>
  </conditionalFormatting>
  <conditionalFormatting sqref="R58:R62">
    <cfRule type="cellIs" dxfId="1" priority="262" operator="equal">
      <formula>ر</formula>
    </cfRule>
  </conditionalFormatting>
  <conditionalFormatting sqref="R5:R9">
    <cfRule type="cellIs" dxfId="1" priority="18" operator="equal">
      <formula>ر</formula>
    </cfRule>
  </conditionalFormatting>
  <conditionalFormatting sqref="R61:R65">
    <cfRule type="cellIs" dxfId="1" priority="284" operator="equal">
      <formula>ر</formula>
    </cfRule>
  </conditionalFormatting>
  <conditionalFormatting sqref="R64:R68">
    <cfRule type="cellIs" dxfId="1" priority="306" operator="equal">
      <formula>ر</formula>
    </cfRule>
  </conditionalFormatting>
  <conditionalFormatting sqref="R67:R71">
    <cfRule type="cellIs" dxfId="1" priority="328" operator="equal">
      <formula>ر</formula>
    </cfRule>
  </conditionalFormatting>
  <conditionalFormatting sqref="R70:R74">
    <cfRule type="cellIs" dxfId="1" priority="350" operator="equal">
      <formula>ر</formula>
    </cfRule>
  </conditionalFormatting>
  <conditionalFormatting sqref="R73:R77">
    <cfRule type="cellIs" dxfId="1" priority="372" operator="equal">
      <formula>ر</formula>
    </cfRule>
  </conditionalFormatting>
  <conditionalFormatting sqref="R76:R80">
    <cfRule type="cellIs" dxfId="1" priority="394" operator="equal">
      <formula>ر</formula>
    </cfRule>
  </conditionalFormatting>
  <conditionalFormatting sqref="R79:R83">
    <cfRule type="cellIs" dxfId="1" priority="416" operator="equal">
      <formula>ر</formula>
    </cfRule>
  </conditionalFormatting>
  <conditionalFormatting sqref="R82:R86">
    <cfRule type="cellIs" dxfId="1" priority="438" operator="equal">
      <formula>ر</formula>
    </cfRule>
  </conditionalFormatting>
  <conditionalFormatting sqref="R8:R12">
    <cfRule type="cellIs" dxfId="1" priority="40" operator="equal">
      <formula>ر</formula>
    </cfRule>
  </conditionalFormatting>
  <conditionalFormatting sqref="S105:S109">
    <cfRule type="cellIs" dxfId="1" priority="461" operator="lessThan">
      <formula>50</formula>
    </cfRule>
  </conditionalFormatting>
  <conditionalFormatting sqref="S108:S112">
    <cfRule type="cellIs" dxfId="1" priority="483" operator="lessThan">
      <formula>50</formula>
    </cfRule>
  </conditionalFormatting>
  <conditionalFormatting sqref="S111:S115">
    <cfRule type="cellIs" dxfId="1" priority="505" operator="lessThan">
      <formula>50</formula>
    </cfRule>
  </conditionalFormatting>
  <conditionalFormatting sqref="S114:S118">
    <cfRule type="cellIs" dxfId="1" priority="527" operator="lessThan">
      <formula>50</formula>
    </cfRule>
  </conditionalFormatting>
  <conditionalFormatting sqref="S117:S121">
    <cfRule type="cellIs" dxfId="1" priority="549" operator="lessThan">
      <formula>50</formula>
    </cfRule>
  </conditionalFormatting>
  <conditionalFormatting sqref="S11:S15">
    <cfRule type="cellIs" dxfId="1" priority="61" operator="lessThan">
      <formula>50</formula>
    </cfRule>
  </conditionalFormatting>
  <conditionalFormatting sqref="S120:S124">
    <cfRule type="cellIs" dxfId="1" priority="571" operator="lessThan">
      <formula>50</formula>
    </cfRule>
  </conditionalFormatting>
  <conditionalFormatting sqref="S123:S127">
    <cfRule type="cellIs" dxfId="1" priority="593" operator="lessThan">
      <formula>50</formula>
    </cfRule>
  </conditionalFormatting>
  <conditionalFormatting sqref="S126:S130">
    <cfRule type="cellIs" dxfId="1" priority="615" operator="lessThan">
      <formula>50</formula>
    </cfRule>
  </conditionalFormatting>
  <conditionalFormatting sqref="S129:S133">
    <cfRule type="cellIs" dxfId="1" priority="637" operator="lessThan">
      <formula>50</formula>
    </cfRule>
  </conditionalFormatting>
  <conditionalFormatting sqref="S132:S136">
    <cfRule type="cellIs" dxfId="1" priority="659" operator="lessThan">
      <formula>50</formula>
    </cfRule>
  </conditionalFormatting>
  <conditionalFormatting sqref="S14:S18">
    <cfRule type="cellIs" dxfId="1" priority="83" operator="lessThan">
      <formula>50</formula>
    </cfRule>
  </conditionalFormatting>
  <conditionalFormatting sqref="S155:S159">
    <cfRule type="cellIs" dxfId="1" priority="683" operator="lessThan">
      <formula>50</formula>
    </cfRule>
  </conditionalFormatting>
  <conditionalFormatting sqref="S158:S162">
    <cfRule type="cellIs" dxfId="1" priority="705" operator="lessThan">
      <formula>50</formula>
    </cfRule>
  </conditionalFormatting>
  <conditionalFormatting sqref="S161:S165">
    <cfRule type="cellIs" dxfId="1" priority="727" operator="lessThan">
      <formula>50</formula>
    </cfRule>
  </conditionalFormatting>
  <conditionalFormatting sqref="S164:S168">
    <cfRule type="cellIs" dxfId="1" priority="749" operator="lessThan">
      <formula>50</formula>
    </cfRule>
  </conditionalFormatting>
  <conditionalFormatting sqref="S167:S171">
    <cfRule type="cellIs" dxfId="1" priority="771" operator="lessThan">
      <formula>50</formula>
    </cfRule>
  </conditionalFormatting>
  <conditionalFormatting sqref="S170:S174">
    <cfRule type="cellIs" dxfId="1" priority="793" operator="lessThan">
      <formula>50</formula>
    </cfRule>
  </conditionalFormatting>
  <conditionalFormatting sqref="S173:S177">
    <cfRule type="cellIs" dxfId="1" priority="815" operator="lessThan">
      <formula>50</formula>
    </cfRule>
  </conditionalFormatting>
  <conditionalFormatting sqref="S176:S180">
    <cfRule type="cellIs" dxfId="1" priority="837" operator="lessThan">
      <formula>50</formula>
    </cfRule>
  </conditionalFormatting>
  <conditionalFormatting sqref="S179:S183">
    <cfRule type="cellIs" dxfId="1" priority="859" operator="lessThan">
      <formula>50</formula>
    </cfRule>
  </conditionalFormatting>
  <conditionalFormatting sqref="S17:S21">
    <cfRule type="cellIs" dxfId="1" priority="105" operator="lessThan">
      <formula>50</formula>
    </cfRule>
  </conditionalFormatting>
  <conditionalFormatting sqref="S182:S186">
    <cfRule type="cellIs" dxfId="1" priority="881" operator="lessThan">
      <formula>50</formula>
    </cfRule>
  </conditionalFormatting>
  <conditionalFormatting sqref="S205:S209">
    <cfRule type="cellIs" dxfId="1" priority="905" operator="lessThan">
      <formula>50</formula>
    </cfRule>
  </conditionalFormatting>
  <conditionalFormatting sqref="S208:S212">
    <cfRule type="cellIs" dxfId="1" priority="927" operator="lessThan">
      <formula>50</formula>
    </cfRule>
  </conditionalFormatting>
  <conditionalFormatting sqref="S20:S24">
    <cfRule type="cellIs" dxfId="1" priority="127" operator="lessThan">
      <formula>50</formula>
    </cfRule>
  </conditionalFormatting>
  <conditionalFormatting sqref="S211:S215">
    <cfRule type="cellIs" dxfId="1" priority="949" operator="lessThan">
      <formula>50</formula>
    </cfRule>
  </conditionalFormatting>
  <conditionalFormatting sqref="S214:S218">
    <cfRule type="cellIs" dxfId="1" priority="971" operator="lessThan">
      <formula>50</formula>
    </cfRule>
  </conditionalFormatting>
  <conditionalFormatting sqref="S217:S221">
    <cfRule type="cellIs" dxfId="1" priority="993" operator="lessThan">
      <formula>50</formula>
    </cfRule>
  </conditionalFormatting>
  <conditionalFormatting sqref="S220:S224">
    <cfRule type="cellIs" dxfId="1" priority="1015" operator="lessThan">
      <formula>50</formula>
    </cfRule>
  </conditionalFormatting>
  <conditionalFormatting sqref="S223:S227">
    <cfRule type="cellIs" dxfId="1" priority="1037" operator="lessThan">
      <formula>50</formula>
    </cfRule>
  </conditionalFormatting>
  <conditionalFormatting sqref="S226:S230">
    <cfRule type="cellIs" dxfId="1" priority="1059" operator="lessThan">
      <formula>50</formula>
    </cfRule>
  </conditionalFormatting>
  <conditionalFormatting sqref="S229:S233">
    <cfRule type="cellIs" dxfId="1" priority="1081" operator="lessThan">
      <formula>50</formula>
    </cfRule>
  </conditionalFormatting>
  <conditionalFormatting sqref="S232:S236">
    <cfRule type="cellIs" dxfId="1" priority="1103" operator="lessThan">
      <formula>50</formula>
    </cfRule>
  </conditionalFormatting>
  <conditionalFormatting sqref="S23:S27">
    <cfRule type="cellIs" dxfId="1" priority="149" operator="lessThan">
      <formula>50</formula>
    </cfRule>
  </conditionalFormatting>
  <conditionalFormatting sqref="S26:S30">
    <cfRule type="cellIs" dxfId="1" priority="171" operator="lessThan">
      <formula>50</formula>
    </cfRule>
  </conditionalFormatting>
  <conditionalFormatting sqref="S29:S33">
    <cfRule type="cellIs" dxfId="1" priority="193" operator="lessThan">
      <formula>50</formula>
    </cfRule>
  </conditionalFormatting>
  <conditionalFormatting sqref="S32:S36">
    <cfRule type="cellIs" dxfId="1" priority="215" operator="lessThan">
      <formula>50</formula>
    </cfRule>
  </conditionalFormatting>
  <conditionalFormatting sqref="S55:S59">
    <cfRule type="cellIs" dxfId="1" priority="239" operator="lessThan">
      <formula>50</formula>
    </cfRule>
  </conditionalFormatting>
  <conditionalFormatting sqref="S58:S62">
    <cfRule type="cellIs" dxfId="1" priority="261" operator="lessThan">
      <formula>50</formula>
    </cfRule>
  </conditionalFormatting>
  <conditionalFormatting sqref="S5:S9">
    <cfRule type="cellIs" dxfId="1" priority="17" operator="lessThan">
      <formula>50</formula>
    </cfRule>
  </conditionalFormatting>
  <conditionalFormatting sqref="S61:S65">
    <cfRule type="cellIs" dxfId="1" priority="283" operator="lessThan">
      <formula>50</formula>
    </cfRule>
  </conditionalFormatting>
  <conditionalFormatting sqref="S64:S68">
    <cfRule type="cellIs" dxfId="1" priority="305" operator="lessThan">
      <formula>50</formula>
    </cfRule>
  </conditionalFormatting>
  <conditionalFormatting sqref="S67:S71">
    <cfRule type="cellIs" dxfId="1" priority="327" operator="lessThan">
      <formula>50</formula>
    </cfRule>
  </conditionalFormatting>
  <conditionalFormatting sqref="S70:S74">
    <cfRule type="cellIs" dxfId="1" priority="349" operator="lessThan">
      <formula>50</formula>
    </cfRule>
  </conditionalFormatting>
  <conditionalFormatting sqref="S73:S77">
    <cfRule type="cellIs" dxfId="1" priority="371" operator="lessThan">
      <formula>50</formula>
    </cfRule>
  </conditionalFormatting>
  <conditionalFormatting sqref="S76:S80">
    <cfRule type="cellIs" dxfId="1" priority="393" operator="lessThan">
      <formula>50</formula>
    </cfRule>
  </conditionalFormatting>
  <conditionalFormatting sqref="S79:S83">
    <cfRule type="cellIs" dxfId="1" priority="415" operator="lessThan">
      <formula>50</formula>
    </cfRule>
  </conditionalFormatting>
  <conditionalFormatting sqref="S82:S86">
    <cfRule type="cellIs" dxfId="1" priority="437" operator="lessThan">
      <formula>50</formula>
    </cfRule>
  </conditionalFormatting>
  <conditionalFormatting sqref="S8:S12">
    <cfRule type="cellIs" dxfId="1" priority="39" operator="lessThan">
      <formula>50</formula>
    </cfRule>
  </conditionalFormatting>
  <conditionalFormatting sqref="T105:T109">
    <cfRule type="cellIs" dxfId="1" priority="464" operator="equal">
      <formula>ر</formula>
    </cfRule>
  </conditionalFormatting>
  <conditionalFormatting sqref="T108:T112">
    <cfRule type="cellIs" dxfId="1" priority="486" operator="equal">
      <formula>ر</formula>
    </cfRule>
  </conditionalFormatting>
  <conditionalFormatting sqref="T111:T115">
    <cfRule type="cellIs" dxfId="1" priority="508" operator="equal">
      <formula>ر</formula>
    </cfRule>
  </conditionalFormatting>
  <conditionalFormatting sqref="T114:T118">
    <cfRule type="cellIs" dxfId="1" priority="530" operator="equal">
      <formula>ر</formula>
    </cfRule>
  </conditionalFormatting>
  <conditionalFormatting sqref="T117:T121">
    <cfRule type="cellIs" dxfId="1" priority="552" operator="equal">
      <formula>ر</formula>
    </cfRule>
  </conditionalFormatting>
  <conditionalFormatting sqref="T11:T15">
    <cfRule type="cellIs" dxfId="1" priority="64" operator="equal">
      <formula>ر</formula>
    </cfRule>
  </conditionalFormatting>
  <conditionalFormatting sqref="T120:T124">
    <cfRule type="cellIs" dxfId="1" priority="574" operator="equal">
      <formula>ر</formula>
    </cfRule>
  </conditionalFormatting>
  <conditionalFormatting sqref="T123:T127">
    <cfRule type="cellIs" dxfId="1" priority="596" operator="equal">
      <formula>ر</formula>
    </cfRule>
  </conditionalFormatting>
  <conditionalFormatting sqref="T126:T130">
    <cfRule type="cellIs" dxfId="1" priority="618" operator="equal">
      <formula>ر</formula>
    </cfRule>
  </conditionalFormatting>
  <conditionalFormatting sqref="T129:T133">
    <cfRule type="cellIs" dxfId="1" priority="640" operator="equal">
      <formula>ر</formula>
    </cfRule>
  </conditionalFormatting>
  <conditionalFormatting sqref="T132:T136">
    <cfRule type="cellIs" dxfId="1" priority="662" operator="equal">
      <formula>ر</formula>
    </cfRule>
  </conditionalFormatting>
  <conditionalFormatting sqref="T14:T18">
    <cfRule type="cellIs" dxfId="1" priority="86" operator="equal">
      <formula>ر</formula>
    </cfRule>
  </conditionalFormatting>
  <conditionalFormatting sqref="T155:T159">
    <cfRule type="cellIs" dxfId="1" priority="686" operator="equal">
      <formula>ر</formula>
    </cfRule>
  </conditionalFormatting>
  <conditionalFormatting sqref="T158:T162">
    <cfRule type="cellIs" dxfId="1" priority="708" operator="equal">
      <formula>ر</formula>
    </cfRule>
  </conditionalFormatting>
  <conditionalFormatting sqref="T161:T165">
    <cfRule type="cellIs" dxfId="1" priority="730" operator="equal">
      <formula>ر</formula>
    </cfRule>
  </conditionalFormatting>
  <conditionalFormatting sqref="T164:T168">
    <cfRule type="cellIs" dxfId="1" priority="752" operator="equal">
      <formula>ر</formula>
    </cfRule>
  </conditionalFormatting>
  <conditionalFormatting sqref="T167:T171">
    <cfRule type="cellIs" dxfId="1" priority="774" operator="equal">
      <formula>ر</formula>
    </cfRule>
  </conditionalFormatting>
  <conditionalFormatting sqref="T170:T174">
    <cfRule type="cellIs" dxfId="1" priority="796" operator="equal">
      <formula>ر</formula>
    </cfRule>
  </conditionalFormatting>
  <conditionalFormatting sqref="T173:T177">
    <cfRule type="cellIs" dxfId="1" priority="818" operator="equal">
      <formula>ر</formula>
    </cfRule>
  </conditionalFormatting>
  <conditionalFormatting sqref="T176:T180">
    <cfRule type="cellIs" dxfId="1" priority="840" operator="equal">
      <formula>ر</formula>
    </cfRule>
  </conditionalFormatting>
  <conditionalFormatting sqref="T179:T183">
    <cfRule type="cellIs" dxfId="1" priority="862" operator="equal">
      <formula>ر</formula>
    </cfRule>
  </conditionalFormatting>
  <conditionalFormatting sqref="T17:T21">
    <cfRule type="cellIs" dxfId="1" priority="108" operator="equal">
      <formula>ر</formula>
    </cfRule>
  </conditionalFormatting>
  <conditionalFormatting sqref="T182:T186">
    <cfRule type="cellIs" dxfId="1" priority="884" operator="equal">
      <formula>ر</formula>
    </cfRule>
  </conditionalFormatting>
  <conditionalFormatting sqref="T205:T209">
    <cfRule type="cellIs" dxfId="1" priority="908" operator="equal">
      <formula>ر</formula>
    </cfRule>
  </conditionalFormatting>
  <conditionalFormatting sqref="T208:T212">
    <cfRule type="cellIs" dxfId="1" priority="930" operator="equal">
      <formula>ر</formula>
    </cfRule>
  </conditionalFormatting>
  <conditionalFormatting sqref="T20:T24">
    <cfRule type="cellIs" dxfId="1" priority="130" operator="equal">
      <formula>ر</formula>
    </cfRule>
  </conditionalFormatting>
  <conditionalFormatting sqref="T211:T215">
    <cfRule type="cellIs" dxfId="1" priority="952" operator="equal">
      <formula>ر</formula>
    </cfRule>
  </conditionalFormatting>
  <conditionalFormatting sqref="T214:T218">
    <cfRule type="cellIs" dxfId="1" priority="974" operator="equal">
      <formula>ر</formula>
    </cfRule>
  </conditionalFormatting>
  <conditionalFormatting sqref="T217:T221">
    <cfRule type="cellIs" dxfId="1" priority="996" operator="equal">
      <formula>ر</formula>
    </cfRule>
  </conditionalFormatting>
  <conditionalFormatting sqref="T220:T224">
    <cfRule type="cellIs" dxfId="1" priority="1018" operator="equal">
      <formula>ر</formula>
    </cfRule>
  </conditionalFormatting>
  <conditionalFormatting sqref="T223:T227">
    <cfRule type="cellIs" dxfId="1" priority="1040" operator="equal">
      <formula>ر</formula>
    </cfRule>
  </conditionalFormatting>
  <conditionalFormatting sqref="T226:T230">
    <cfRule type="cellIs" dxfId="1" priority="1062" operator="equal">
      <formula>ر</formula>
    </cfRule>
  </conditionalFormatting>
  <conditionalFormatting sqref="T229:T233">
    <cfRule type="cellIs" dxfId="1" priority="1084" operator="equal">
      <formula>ر</formula>
    </cfRule>
  </conditionalFormatting>
  <conditionalFormatting sqref="T232:T236">
    <cfRule type="cellIs" dxfId="1" priority="1106" operator="equal">
      <formula>ر</formula>
    </cfRule>
  </conditionalFormatting>
  <conditionalFormatting sqref="T23:T27">
    <cfRule type="cellIs" dxfId="1" priority="152" operator="equal">
      <formula>ر</formula>
    </cfRule>
  </conditionalFormatting>
  <conditionalFormatting sqref="T26:T30">
    <cfRule type="cellIs" dxfId="1" priority="174" operator="equal">
      <formula>ر</formula>
    </cfRule>
  </conditionalFormatting>
  <conditionalFormatting sqref="T29:T33">
    <cfRule type="cellIs" dxfId="1" priority="196" operator="equal">
      <formula>ر</formula>
    </cfRule>
  </conditionalFormatting>
  <conditionalFormatting sqref="T32:T36">
    <cfRule type="cellIs" dxfId="1" priority="218" operator="equal">
      <formula>ر</formula>
    </cfRule>
  </conditionalFormatting>
  <conditionalFormatting sqref="T55:T59">
    <cfRule type="cellIs" dxfId="1" priority="242" operator="equal">
      <formula>ر</formula>
    </cfRule>
  </conditionalFormatting>
  <conditionalFormatting sqref="T58:T62">
    <cfRule type="cellIs" dxfId="1" priority="264" operator="equal">
      <formula>ر</formula>
    </cfRule>
  </conditionalFormatting>
  <conditionalFormatting sqref="T5:T9">
    <cfRule type="cellIs" dxfId="1" priority="20" operator="equal">
      <formula>ر</formula>
    </cfRule>
  </conditionalFormatting>
  <conditionalFormatting sqref="T61:T65">
    <cfRule type="cellIs" dxfId="1" priority="286" operator="equal">
      <formula>ر</formula>
    </cfRule>
  </conditionalFormatting>
  <conditionalFormatting sqref="T64:T68">
    <cfRule type="cellIs" dxfId="1" priority="308" operator="equal">
      <formula>ر</formula>
    </cfRule>
  </conditionalFormatting>
  <conditionalFormatting sqref="T67:T71">
    <cfRule type="cellIs" dxfId="1" priority="330" operator="equal">
      <formula>ر</formula>
    </cfRule>
  </conditionalFormatting>
  <conditionalFormatting sqref="T70:T74">
    <cfRule type="cellIs" dxfId="1" priority="352" operator="equal">
      <formula>ر</formula>
    </cfRule>
  </conditionalFormatting>
  <conditionalFormatting sqref="T73:T77">
    <cfRule type="cellIs" dxfId="1" priority="374" operator="equal">
      <formula>ر</formula>
    </cfRule>
  </conditionalFormatting>
  <conditionalFormatting sqref="T76:T80">
    <cfRule type="cellIs" dxfId="1" priority="396" operator="equal">
      <formula>ر</formula>
    </cfRule>
  </conditionalFormatting>
  <conditionalFormatting sqref="T79:T83">
    <cfRule type="cellIs" dxfId="1" priority="418" operator="equal">
      <formula>ر</formula>
    </cfRule>
  </conditionalFormatting>
  <conditionalFormatting sqref="T82:T86">
    <cfRule type="cellIs" dxfId="1" priority="440" operator="equal">
      <formula>ر</formula>
    </cfRule>
  </conditionalFormatting>
  <conditionalFormatting sqref="T8:T12">
    <cfRule type="cellIs" dxfId="1" priority="42" operator="equal">
      <formula>ر</formula>
    </cfRule>
  </conditionalFormatting>
  <conditionalFormatting sqref="U105:U109">
    <cfRule type="cellIs" dxfId="1" priority="463" operator="lessThan">
      <formula>50</formula>
    </cfRule>
  </conditionalFormatting>
  <conditionalFormatting sqref="U108:U112">
    <cfRule type="cellIs" dxfId="1" priority="485" operator="lessThan">
      <formula>50</formula>
    </cfRule>
  </conditionalFormatting>
  <conditionalFormatting sqref="U111:U115">
    <cfRule type="cellIs" dxfId="1" priority="507" operator="lessThan">
      <formula>50</formula>
    </cfRule>
  </conditionalFormatting>
  <conditionalFormatting sqref="U114:U118">
    <cfRule type="cellIs" dxfId="1" priority="529" operator="lessThan">
      <formula>50</formula>
    </cfRule>
  </conditionalFormatting>
  <conditionalFormatting sqref="U117:U121">
    <cfRule type="cellIs" dxfId="1" priority="551" operator="lessThan">
      <formula>50</formula>
    </cfRule>
  </conditionalFormatting>
  <conditionalFormatting sqref="U11:U15">
    <cfRule type="cellIs" dxfId="1" priority="63" operator="lessThan">
      <formula>50</formula>
    </cfRule>
  </conditionalFormatting>
  <conditionalFormatting sqref="U120:U124">
    <cfRule type="cellIs" dxfId="1" priority="573" operator="lessThan">
      <formula>50</formula>
    </cfRule>
  </conditionalFormatting>
  <conditionalFormatting sqref="U123:U127">
    <cfRule type="cellIs" dxfId="1" priority="595" operator="lessThan">
      <formula>50</formula>
    </cfRule>
  </conditionalFormatting>
  <conditionalFormatting sqref="U126:U130">
    <cfRule type="cellIs" dxfId="1" priority="617" operator="lessThan">
      <formula>50</formula>
    </cfRule>
  </conditionalFormatting>
  <conditionalFormatting sqref="U129:U133">
    <cfRule type="cellIs" dxfId="1" priority="639" operator="lessThan">
      <formula>50</formula>
    </cfRule>
  </conditionalFormatting>
  <conditionalFormatting sqref="U132:U136">
    <cfRule type="cellIs" dxfId="1" priority="661" operator="lessThan">
      <formula>50</formula>
    </cfRule>
  </conditionalFormatting>
  <conditionalFormatting sqref="U14:U18">
    <cfRule type="cellIs" dxfId="1" priority="85" operator="lessThan">
      <formula>50</formula>
    </cfRule>
  </conditionalFormatting>
  <conditionalFormatting sqref="U155:U159">
    <cfRule type="cellIs" dxfId="1" priority="685" operator="lessThan">
      <formula>50</formula>
    </cfRule>
  </conditionalFormatting>
  <conditionalFormatting sqref="U158:U162">
    <cfRule type="cellIs" dxfId="1" priority="707" operator="lessThan">
      <formula>50</formula>
    </cfRule>
  </conditionalFormatting>
  <conditionalFormatting sqref="U161:U165">
    <cfRule type="cellIs" dxfId="1" priority="729" operator="lessThan">
      <formula>50</formula>
    </cfRule>
  </conditionalFormatting>
  <conditionalFormatting sqref="U164:U168">
    <cfRule type="cellIs" dxfId="1" priority="751" operator="lessThan">
      <formula>50</formula>
    </cfRule>
  </conditionalFormatting>
  <conditionalFormatting sqref="U167:U171">
    <cfRule type="cellIs" dxfId="1" priority="773" operator="lessThan">
      <formula>50</formula>
    </cfRule>
  </conditionalFormatting>
  <conditionalFormatting sqref="U170:U174">
    <cfRule type="cellIs" dxfId="1" priority="795" operator="lessThan">
      <formula>50</formula>
    </cfRule>
  </conditionalFormatting>
  <conditionalFormatting sqref="U173:U177">
    <cfRule type="cellIs" dxfId="1" priority="817" operator="lessThan">
      <formula>50</formula>
    </cfRule>
  </conditionalFormatting>
  <conditionalFormatting sqref="U176:U180">
    <cfRule type="cellIs" dxfId="1" priority="839" operator="lessThan">
      <formula>50</formula>
    </cfRule>
  </conditionalFormatting>
  <conditionalFormatting sqref="U179:U183">
    <cfRule type="cellIs" dxfId="1" priority="861" operator="lessThan">
      <formula>50</formula>
    </cfRule>
  </conditionalFormatting>
  <conditionalFormatting sqref="U17:U21">
    <cfRule type="cellIs" dxfId="1" priority="107" operator="lessThan">
      <formula>50</formula>
    </cfRule>
  </conditionalFormatting>
  <conditionalFormatting sqref="U182:U186">
    <cfRule type="cellIs" dxfId="1" priority="883" operator="lessThan">
      <formula>50</formula>
    </cfRule>
  </conditionalFormatting>
  <conditionalFormatting sqref="U205:U209">
    <cfRule type="cellIs" dxfId="1" priority="907" operator="lessThan">
      <formula>50</formula>
    </cfRule>
  </conditionalFormatting>
  <conditionalFormatting sqref="U208:U212">
    <cfRule type="cellIs" dxfId="1" priority="929" operator="lessThan">
      <formula>50</formula>
    </cfRule>
  </conditionalFormatting>
  <conditionalFormatting sqref="U20:U24">
    <cfRule type="cellIs" dxfId="1" priority="129" operator="lessThan">
      <formula>50</formula>
    </cfRule>
  </conditionalFormatting>
  <conditionalFormatting sqref="U211:U215">
    <cfRule type="cellIs" dxfId="1" priority="951" operator="lessThan">
      <formula>50</formula>
    </cfRule>
  </conditionalFormatting>
  <conditionalFormatting sqref="U214:U218">
    <cfRule type="cellIs" dxfId="1" priority="973" operator="lessThan">
      <formula>50</formula>
    </cfRule>
  </conditionalFormatting>
  <conditionalFormatting sqref="U217:U221">
    <cfRule type="cellIs" dxfId="1" priority="995" operator="lessThan">
      <formula>50</formula>
    </cfRule>
  </conditionalFormatting>
  <conditionalFormatting sqref="U220:U224">
    <cfRule type="cellIs" dxfId="1" priority="1017" operator="lessThan">
      <formula>50</formula>
    </cfRule>
  </conditionalFormatting>
  <conditionalFormatting sqref="U223:U227">
    <cfRule type="cellIs" dxfId="1" priority="1039" operator="lessThan">
      <formula>50</formula>
    </cfRule>
  </conditionalFormatting>
  <conditionalFormatting sqref="U226:U230">
    <cfRule type="cellIs" dxfId="1" priority="1061" operator="lessThan">
      <formula>50</formula>
    </cfRule>
  </conditionalFormatting>
  <conditionalFormatting sqref="U229:U233">
    <cfRule type="cellIs" dxfId="1" priority="1083" operator="lessThan">
      <formula>50</formula>
    </cfRule>
  </conditionalFormatting>
  <conditionalFormatting sqref="U232:U236">
    <cfRule type="cellIs" dxfId="1" priority="1105" operator="lessThan">
      <formula>50</formula>
    </cfRule>
  </conditionalFormatting>
  <conditionalFormatting sqref="U23:U27">
    <cfRule type="cellIs" dxfId="1" priority="151" operator="lessThan">
      <formula>50</formula>
    </cfRule>
  </conditionalFormatting>
  <conditionalFormatting sqref="U26:U30">
    <cfRule type="cellIs" dxfId="1" priority="173" operator="lessThan">
      <formula>50</formula>
    </cfRule>
  </conditionalFormatting>
  <conditionalFormatting sqref="U29:U33">
    <cfRule type="cellIs" dxfId="1" priority="195" operator="lessThan">
      <formula>50</formula>
    </cfRule>
  </conditionalFormatting>
  <conditionalFormatting sqref="U32:U36">
    <cfRule type="cellIs" dxfId="1" priority="217" operator="lessThan">
      <formula>50</formula>
    </cfRule>
  </conditionalFormatting>
  <conditionalFormatting sqref="U55:U59">
    <cfRule type="cellIs" dxfId="1" priority="241" operator="lessThan">
      <formula>50</formula>
    </cfRule>
  </conditionalFormatting>
  <conditionalFormatting sqref="U58:U62">
    <cfRule type="cellIs" dxfId="1" priority="263" operator="lessThan">
      <formula>50</formula>
    </cfRule>
  </conditionalFormatting>
  <conditionalFormatting sqref="U5:U9">
    <cfRule type="cellIs" dxfId="1" priority="19" operator="lessThan">
      <formula>50</formula>
    </cfRule>
  </conditionalFormatting>
  <conditionalFormatting sqref="U61:U65">
    <cfRule type="cellIs" dxfId="1" priority="285" operator="lessThan">
      <formula>50</formula>
    </cfRule>
  </conditionalFormatting>
  <conditionalFormatting sqref="U64:U68">
    <cfRule type="cellIs" dxfId="1" priority="307" operator="lessThan">
      <formula>50</formula>
    </cfRule>
  </conditionalFormatting>
  <conditionalFormatting sqref="U67:U71">
    <cfRule type="cellIs" dxfId="1" priority="329" operator="lessThan">
      <formula>50</formula>
    </cfRule>
  </conditionalFormatting>
  <conditionalFormatting sqref="U70:U74">
    <cfRule type="cellIs" dxfId="1" priority="351" operator="lessThan">
      <formula>50</formula>
    </cfRule>
  </conditionalFormatting>
  <conditionalFormatting sqref="U73:U77">
    <cfRule type="cellIs" dxfId="1" priority="373" operator="lessThan">
      <formula>50</formula>
    </cfRule>
  </conditionalFormatting>
  <conditionalFormatting sqref="U76:U80">
    <cfRule type="cellIs" dxfId="1" priority="395" operator="lessThan">
      <formula>50</formula>
    </cfRule>
  </conditionalFormatting>
  <conditionalFormatting sqref="U79:U83">
    <cfRule type="cellIs" dxfId="1" priority="417" operator="lessThan">
      <formula>50</formula>
    </cfRule>
  </conditionalFormatting>
  <conditionalFormatting sqref="U82:U86">
    <cfRule type="cellIs" dxfId="1" priority="439" operator="lessThan">
      <formula>50</formula>
    </cfRule>
  </conditionalFormatting>
  <conditionalFormatting sqref="U8:U12">
    <cfRule type="cellIs" dxfId="1" priority="41" operator="lessThan">
      <formula>50</formula>
    </cfRule>
  </conditionalFormatting>
  <conditionalFormatting sqref="V105:V109">
    <cfRule type="cellIs" dxfId="1" priority="466" operator="equal">
      <formula>ر</formula>
    </cfRule>
  </conditionalFormatting>
  <conditionalFormatting sqref="V108:V112">
    <cfRule type="cellIs" dxfId="1" priority="488" operator="equal">
      <formula>ر</formula>
    </cfRule>
  </conditionalFormatting>
  <conditionalFormatting sqref="V111:V115">
    <cfRule type="cellIs" dxfId="1" priority="510" operator="equal">
      <formula>ر</formula>
    </cfRule>
  </conditionalFormatting>
  <conditionalFormatting sqref="V114:V118">
    <cfRule type="cellIs" dxfId="1" priority="532" operator="equal">
      <formula>ر</formula>
    </cfRule>
  </conditionalFormatting>
  <conditionalFormatting sqref="V117:V121">
    <cfRule type="cellIs" dxfId="1" priority="554" operator="equal">
      <formula>ر</formula>
    </cfRule>
  </conditionalFormatting>
  <conditionalFormatting sqref="V11:V15">
    <cfRule type="cellIs" dxfId="1" priority="66" operator="equal">
      <formula>ر</formula>
    </cfRule>
  </conditionalFormatting>
  <conditionalFormatting sqref="V120:V124">
    <cfRule type="cellIs" dxfId="1" priority="576" operator="equal">
      <formula>ر</formula>
    </cfRule>
  </conditionalFormatting>
  <conditionalFormatting sqref="V123:V127">
    <cfRule type="cellIs" dxfId="1" priority="598" operator="equal">
      <formula>ر</formula>
    </cfRule>
  </conditionalFormatting>
  <conditionalFormatting sqref="V126:V130">
    <cfRule type="cellIs" dxfId="1" priority="620" operator="equal">
      <formula>ر</formula>
    </cfRule>
  </conditionalFormatting>
  <conditionalFormatting sqref="V129:V133">
    <cfRule type="cellIs" dxfId="1" priority="642" operator="equal">
      <formula>ر</formula>
    </cfRule>
  </conditionalFormatting>
  <conditionalFormatting sqref="V132:V136">
    <cfRule type="cellIs" dxfId="1" priority="664" operator="equal">
      <formula>ر</formula>
    </cfRule>
  </conditionalFormatting>
  <conditionalFormatting sqref="V14:V18">
    <cfRule type="cellIs" dxfId="1" priority="88" operator="equal">
      <formula>ر</formula>
    </cfRule>
  </conditionalFormatting>
  <conditionalFormatting sqref="V155:V159">
    <cfRule type="cellIs" dxfId="1" priority="688" operator="equal">
      <formula>ر</formula>
    </cfRule>
  </conditionalFormatting>
  <conditionalFormatting sqref="V158:V162">
    <cfRule type="cellIs" dxfId="1" priority="710" operator="equal">
      <formula>ر</formula>
    </cfRule>
  </conditionalFormatting>
  <conditionalFormatting sqref="V161:V165">
    <cfRule type="cellIs" dxfId="1" priority="732" operator="equal">
      <formula>ر</formula>
    </cfRule>
  </conditionalFormatting>
  <conditionalFormatting sqref="V164:V168">
    <cfRule type="cellIs" dxfId="1" priority="754" operator="equal">
      <formula>ر</formula>
    </cfRule>
  </conditionalFormatting>
  <conditionalFormatting sqref="V167:V171">
    <cfRule type="cellIs" dxfId="1" priority="776" operator="equal">
      <formula>ر</formula>
    </cfRule>
  </conditionalFormatting>
  <conditionalFormatting sqref="V170:V174">
    <cfRule type="cellIs" dxfId="1" priority="798" operator="equal">
      <formula>ر</formula>
    </cfRule>
  </conditionalFormatting>
  <conditionalFormatting sqref="V173:V177">
    <cfRule type="cellIs" dxfId="1" priority="820" operator="equal">
      <formula>ر</formula>
    </cfRule>
  </conditionalFormatting>
  <conditionalFormatting sqref="V176:V180">
    <cfRule type="cellIs" dxfId="1" priority="842" operator="equal">
      <formula>ر</formula>
    </cfRule>
  </conditionalFormatting>
  <conditionalFormatting sqref="V179:V183">
    <cfRule type="cellIs" dxfId="1" priority="864" operator="equal">
      <formula>ر</formula>
    </cfRule>
  </conditionalFormatting>
  <conditionalFormatting sqref="V17:V21">
    <cfRule type="cellIs" dxfId="1" priority="110" operator="equal">
      <formula>ر</formula>
    </cfRule>
  </conditionalFormatting>
  <conditionalFormatting sqref="V182:V186">
    <cfRule type="cellIs" dxfId="1" priority="886" operator="equal">
      <formula>ر</formula>
    </cfRule>
  </conditionalFormatting>
  <conditionalFormatting sqref="V205:V209">
    <cfRule type="cellIs" dxfId="1" priority="910" operator="equal">
      <formula>ر</formula>
    </cfRule>
  </conditionalFormatting>
  <conditionalFormatting sqref="V208:V212">
    <cfRule type="cellIs" dxfId="1" priority="932" operator="equal">
      <formula>ر</formula>
    </cfRule>
  </conditionalFormatting>
  <conditionalFormatting sqref="V20:V24">
    <cfRule type="cellIs" dxfId="1" priority="132" operator="equal">
      <formula>ر</formula>
    </cfRule>
  </conditionalFormatting>
  <conditionalFormatting sqref="V211:V215">
    <cfRule type="cellIs" dxfId="1" priority="954" operator="equal">
      <formula>ر</formula>
    </cfRule>
  </conditionalFormatting>
  <conditionalFormatting sqref="V214:V218">
    <cfRule type="cellIs" dxfId="1" priority="976" operator="equal">
      <formula>ر</formula>
    </cfRule>
  </conditionalFormatting>
  <conditionalFormatting sqref="V217:V221">
    <cfRule type="cellIs" dxfId="1" priority="998" operator="equal">
      <formula>ر</formula>
    </cfRule>
  </conditionalFormatting>
  <conditionalFormatting sqref="V220:V224">
    <cfRule type="cellIs" dxfId="1" priority="1020" operator="equal">
      <formula>ر</formula>
    </cfRule>
  </conditionalFormatting>
  <conditionalFormatting sqref="V223:V227">
    <cfRule type="cellIs" dxfId="1" priority="1042" operator="equal">
      <formula>ر</formula>
    </cfRule>
  </conditionalFormatting>
  <conditionalFormatting sqref="V226:V230">
    <cfRule type="cellIs" dxfId="1" priority="1064" operator="equal">
      <formula>ر</formula>
    </cfRule>
  </conditionalFormatting>
  <conditionalFormatting sqref="V229:V233">
    <cfRule type="cellIs" dxfId="1" priority="1086" operator="equal">
      <formula>ر</formula>
    </cfRule>
  </conditionalFormatting>
  <conditionalFormatting sqref="V232:V236">
    <cfRule type="cellIs" dxfId="1" priority="1108" operator="equal">
      <formula>ر</formula>
    </cfRule>
  </conditionalFormatting>
  <conditionalFormatting sqref="V23:V27">
    <cfRule type="cellIs" dxfId="1" priority="154" operator="equal">
      <formula>ر</formula>
    </cfRule>
  </conditionalFormatting>
  <conditionalFormatting sqref="V26:V30">
    <cfRule type="cellIs" dxfId="1" priority="176" operator="equal">
      <formula>ر</formula>
    </cfRule>
  </conditionalFormatting>
  <conditionalFormatting sqref="V29:V33">
    <cfRule type="cellIs" dxfId="1" priority="198" operator="equal">
      <formula>ر</formula>
    </cfRule>
  </conditionalFormatting>
  <conditionalFormatting sqref="V32:V36">
    <cfRule type="cellIs" dxfId="1" priority="220" operator="equal">
      <formula>ر</formula>
    </cfRule>
  </conditionalFormatting>
  <conditionalFormatting sqref="V55:V59">
    <cfRule type="cellIs" dxfId="1" priority="244" operator="equal">
      <formula>ر</formula>
    </cfRule>
  </conditionalFormatting>
  <conditionalFormatting sqref="V58:V62">
    <cfRule type="cellIs" dxfId="1" priority="266" operator="equal">
      <formula>ر</formula>
    </cfRule>
  </conditionalFormatting>
  <conditionalFormatting sqref="V5:V9">
    <cfRule type="cellIs" dxfId="1" priority="22" operator="equal">
      <formula>ر</formula>
    </cfRule>
  </conditionalFormatting>
  <conditionalFormatting sqref="V61:V65">
    <cfRule type="cellIs" dxfId="1" priority="288" operator="equal">
      <formula>ر</formula>
    </cfRule>
  </conditionalFormatting>
  <conditionalFormatting sqref="V64:V68">
    <cfRule type="cellIs" dxfId="1" priority="310" operator="equal">
      <formula>ر</formula>
    </cfRule>
  </conditionalFormatting>
  <conditionalFormatting sqref="V67:V71">
    <cfRule type="cellIs" dxfId="1" priority="332" operator="equal">
      <formula>ر</formula>
    </cfRule>
  </conditionalFormatting>
  <conditionalFormatting sqref="V70:V74">
    <cfRule type="cellIs" dxfId="1" priority="354" operator="equal">
      <formula>ر</formula>
    </cfRule>
  </conditionalFormatting>
  <conditionalFormatting sqref="V73:V77">
    <cfRule type="cellIs" dxfId="1" priority="376" operator="equal">
      <formula>ر</formula>
    </cfRule>
  </conditionalFormatting>
  <conditionalFormatting sqref="V76:V80">
    <cfRule type="cellIs" dxfId="1" priority="398" operator="equal">
      <formula>ر</formula>
    </cfRule>
  </conditionalFormatting>
  <conditionalFormatting sqref="V79:V83">
    <cfRule type="cellIs" dxfId="1" priority="420" operator="equal">
      <formula>ر</formula>
    </cfRule>
  </conditionalFormatting>
  <conditionalFormatting sqref="V82:V86">
    <cfRule type="cellIs" dxfId="1" priority="442" operator="equal">
      <formula>ر</formula>
    </cfRule>
  </conditionalFormatting>
  <conditionalFormatting sqref="V8:V12">
    <cfRule type="cellIs" dxfId="1" priority="44" operator="equal">
      <formula>ر</formula>
    </cfRule>
  </conditionalFormatting>
  <conditionalFormatting sqref="W105:W109">
    <cfRule type="cellIs" dxfId="1" priority="465" operator="lessThan">
      <formula>50</formula>
    </cfRule>
  </conditionalFormatting>
  <conditionalFormatting sqref="W108:W112">
    <cfRule type="cellIs" dxfId="1" priority="487" operator="lessThan">
      <formula>50</formula>
    </cfRule>
  </conditionalFormatting>
  <conditionalFormatting sqref="W111:W115">
    <cfRule type="cellIs" dxfId="1" priority="509" operator="lessThan">
      <formula>50</formula>
    </cfRule>
  </conditionalFormatting>
  <conditionalFormatting sqref="W114:W118">
    <cfRule type="cellIs" dxfId="1" priority="531" operator="lessThan">
      <formula>50</formula>
    </cfRule>
  </conditionalFormatting>
  <conditionalFormatting sqref="W117:W121">
    <cfRule type="cellIs" dxfId="1" priority="553" operator="lessThan">
      <formula>50</formula>
    </cfRule>
  </conditionalFormatting>
  <conditionalFormatting sqref="W11:W15">
    <cfRule type="cellIs" dxfId="1" priority="65" operator="lessThan">
      <formula>50</formula>
    </cfRule>
  </conditionalFormatting>
  <conditionalFormatting sqref="W120:W124">
    <cfRule type="cellIs" dxfId="1" priority="575" operator="lessThan">
      <formula>50</formula>
    </cfRule>
  </conditionalFormatting>
  <conditionalFormatting sqref="W123:W127">
    <cfRule type="cellIs" dxfId="1" priority="597" operator="lessThan">
      <formula>50</formula>
    </cfRule>
  </conditionalFormatting>
  <conditionalFormatting sqref="W126:W130">
    <cfRule type="cellIs" dxfId="1" priority="619" operator="lessThan">
      <formula>50</formula>
    </cfRule>
  </conditionalFormatting>
  <conditionalFormatting sqref="W129:W133">
    <cfRule type="cellIs" dxfId="1" priority="641" operator="lessThan">
      <formula>50</formula>
    </cfRule>
  </conditionalFormatting>
  <conditionalFormatting sqref="W132:W136">
    <cfRule type="cellIs" dxfId="1" priority="663" operator="lessThan">
      <formula>50</formula>
    </cfRule>
  </conditionalFormatting>
  <conditionalFormatting sqref="W14:W18">
    <cfRule type="cellIs" dxfId="1" priority="87" operator="lessThan">
      <formula>50</formula>
    </cfRule>
  </conditionalFormatting>
  <conditionalFormatting sqref="W155:W159">
    <cfRule type="cellIs" dxfId="1" priority="687" operator="lessThan">
      <formula>50</formula>
    </cfRule>
  </conditionalFormatting>
  <conditionalFormatting sqref="W158:W162">
    <cfRule type="cellIs" dxfId="1" priority="709" operator="lessThan">
      <formula>50</formula>
    </cfRule>
  </conditionalFormatting>
  <conditionalFormatting sqref="W161:W165">
    <cfRule type="cellIs" dxfId="1" priority="731" operator="lessThan">
      <formula>50</formula>
    </cfRule>
  </conditionalFormatting>
  <conditionalFormatting sqref="W164:W168">
    <cfRule type="cellIs" dxfId="1" priority="753" operator="lessThan">
      <formula>50</formula>
    </cfRule>
  </conditionalFormatting>
  <conditionalFormatting sqref="W167:W171">
    <cfRule type="cellIs" dxfId="1" priority="775" operator="lessThan">
      <formula>50</formula>
    </cfRule>
  </conditionalFormatting>
  <conditionalFormatting sqref="W170:W174">
    <cfRule type="cellIs" dxfId="1" priority="797" operator="lessThan">
      <formula>50</formula>
    </cfRule>
  </conditionalFormatting>
  <conditionalFormatting sqref="W173:W177">
    <cfRule type="cellIs" dxfId="1" priority="819" operator="lessThan">
      <formula>50</formula>
    </cfRule>
  </conditionalFormatting>
  <conditionalFormatting sqref="W176:W180">
    <cfRule type="cellIs" dxfId="1" priority="841" operator="lessThan">
      <formula>50</formula>
    </cfRule>
  </conditionalFormatting>
  <conditionalFormatting sqref="W179:W183">
    <cfRule type="cellIs" dxfId="1" priority="863" operator="lessThan">
      <formula>50</formula>
    </cfRule>
  </conditionalFormatting>
  <conditionalFormatting sqref="W17:W21">
    <cfRule type="cellIs" dxfId="1" priority="109" operator="lessThan">
      <formula>50</formula>
    </cfRule>
  </conditionalFormatting>
  <conditionalFormatting sqref="W182:W186">
    <cfRule type="cellIs" dxfId="1" priority="885" operator="lessThan">
      <formula>50</formula>
    </cfRule>
  </conditionalFormatting>
  <conditionalFormatting sqref="W205:W209">
    <cfRule type="cellIs" dxfId="1" priority="909" operator="lessThan">
      <formula>50</formula>
    </cfRule>
  </conditionalFormatting>
  <conditionalFormatting sqref="W208:W212">
    <cfRule type="cellIs" dxfId="1" priority="931" operator="lessThan">
      <formula>50</formula>
    </cfRule>
  </conditionalFormatting>
  <conditionalFormatting sqref="W20:W24">
    <cfRule type="cellIs" dxfId="1" priority="131" operator="lessThan">
      <formula>50</formula>
    </cfRule>
  </conditionalFormatting>
  <conditionalFormatting sqref="W211:W215">
    <cfRule type="cellIs" dxfId="1" priority="953" operator="lessThan">
      <formula>50</formula>
    </cfRule>
  </conditionalFormatting>
  <conditionalFormatting sqref="W214:W218">
    <cfRule type="cellIs" dxfId="1" priority="975" operator="lessThan">
      <formula>50</formula>
    </cfRule>
  </conditionalFormatting>
  <conditionalFormatting sqref="W217:W221">
    <cfRule type="cellIs" dxfId="1" priority="997" operator="lessThan">
      <formula>50</formula>
    </cfRule>
  </conditionalFormatting>
  <conditionalFormatting sqref="W220:W224">
    <cfRule type="cellIs" dxfId="1" priority="1019" operator="lessThan">
      <formula>50</formula>
    </cfRule>
  </conditionalFormatting>
  <conditionalFormatting sqref="W223:W227">
    <cfRule type="cellIs" dxfId="1" priority="1041" operator="lessThan">
      <formula>50</formula>
    </cfRule>
  </conditionalFormatting>
  <conditionalFormatting sqref="W226:W230">
    <cfRule type="cellIs" dxfId="1" priority="1063" operator="lessThan">
      <formula>50</formula>
    </cfRule>
  </conditionalFormatting>
  <conditionalFormatting sqref="W229:W233">
    <cfRule type="cellIs" dxfId="1" priority="1085" operator="lessThan">
      <formula>50</formula>
    </cfRule>
  </conditionalFormatting>
  <conditionalFormatting sqref="W232:W236">
    <cfRule type="cellIs" dxfId="1" priority="1107" operator="lessThan">
      <formula>50</formula>
    </cfRule>
  </conditionalFormatting>
  <conditionalFormatting sqref="W23:W27">
    <cfRule type="cellIs" dxfId="1" priority="153" operator="lessThan">
      <formula>50</formula>
    </cfRule>
  </conditionalFormatting>
  <conditionalFormatting sqref="W26:W30">
    <cfRule type="cellIs" dxfId="1" priority="175" operator="lessThan">
      <formula>50</formula>
    </cfRule>
  </conditionalFormatting>
  <conditionalFormatting sqref="W29:W33">
    <cfRule type="cellIs" dxfId="1" priority="197" operator="lessThan">
      <formula>50</formula>
    </cfRule>
  </conditionalFormatting>
  <conditionalFormatting sqref="W32:W36">
    <cfRule type="cellIs" dxfId="1" priority="219" operator="lessThan">
      <formula>50</formula>
    </cfRule>
  </conditionalFormatting>
  <conditionalFormatting sqref="W55:W59">
    <cfRule type="cellIs" dxfId="1" priority="243" operator="lessThan">
      <formula>50</formula>
    </cfRule>
  </conditionalFormatting>
  <conditionalFormatting sqref="W58:W62">
    <cfRule type="cellIs" dxfId="1" priority="265" operator="lessThan">
      <formula>50</formula>
    </cfRule>
  </conditionalFormatting>
  <conditionalFormatting sqref="W5:W9">
    <cfRule type="cellIs" dxfId="1" priority="21" operator="lessThan">
      <formula>50</formula>
    </cfRule>
  </conditionalFormatting>
  <conditionalFormatting sqref="W61:W65">
    <cfRule type="cellIs" dxfId="1" priority="287" operator="lessThan">
      <formula>50</formula>
    </cfRule>
  </conditionalFormatting>
  <conditionalFormatting sqref="W64:W68">
    <cfRule type="cellIs" dxfId="1" priority="309" operator="lessThan">
      <formula>50</formula>
    </cfRule>
  </conditionalFormatting>
  <conditionalFormatting sqref="W67:W71">
    <cfRule type="cellIs" dxfId="1" priority="331" operator="lessThan">
      <formula>50</formula>
    </cfRule>
  </conditionalFormatting>
  <conditionalFormatting sqref="W70:W74">
    <cfRule type="cellIs" dxfId="1" priority="353" operator="lessThan">
      <formula>50</formula>
    </cfRule>
  </conditionalFormatting>
  <conditionalFormatting sqref="W73:W77">
    <cfRule type="cellIs" dxfId="1" priority="375" operator="lessThan">
      <formula>50</formula>
    </cfRule>
  </conditionalFormatting>
  <conditionalFormatting sqref="W76:W80">
    <cfRule type="cellIs" dxfId="1" priority="397" operator="lessThan">
      <formula>50</formula>
    </cfRule>
  </conditionalFormatting>
  <conditionalFormatting sqref="W79:W83">
    <cfRule type="cellIs" dxfId="1" priority="419" operator="lessThan">
      <formula>50</formula>
    </cfRule>
  </conditionalFormatting>
  <conditionalFormatting sqref="W82:W86">
    <cfRule type="cellIs" dxfId="1" priority="441" operator="lessThan">
      <formula>50</formula>
    </cfRule>
  </conditionalFormatting>
  <conditionalFormatting sqref="W8:W12">
    <cfRule type="cellIs" dxfId="1" priority="43" operator="lessThan">
      <formula>50</formula>
    </cfRule>
  </conditionalFormatting>
  <conditionalFormatting sqref="X105:X109">
    <cfRule type="cellIs" dxfId="1" priority="468" operator="equal">
      <formula>ر</formula>
    </cfRule>
  </conditionalFormatting>
  <conditionalFormatting sqref="X108:X112">
    <cfRule type="cellIs" dxfId="1" priority="490" operator="equal">
      <formula>ر</formula>
    </cfRule>
  </conditionalFormatting>
  <conditionalFormatting sqref="X111:X115">
    <cfRule type="cellIs" dxfId="1" priority="512" operator="equal">
      <formula>ر</formula>
    </cfRule>
  </conditionalFormatting>
  <conditionalFormatting sqref="X114:X118">
    <cfRule type="cellIs" dxfId="1" priority="534" operator="equal">
      <formula>ر</formula>
    </cfRule>
  </conditionalFormatting>
  <conditionalFormatting sqref="X117:X121">
    <cfRule type="cellIs" dxfId="1" priority="556" operator="equal">
      <formula>ر</formula>
    </cfRule>
  </conditionalFormatting>
  <conditionalFormatting sqref="X11:X15">
    <cfRule type="cellIs" dxfId="1" priority="68" operator="equal">
      <formula>ر</formula>
    </cfRule>
  </conditionalFormatting>
  <conditionalFormatting sqref="X120:X124">
    <cfRule type="cellIs" dxfId="1" priority="578" operator="equal">
      <formula>ر</formula>
    </cfRule>
  </conditionalFormatting>
  <conditionalFormatting sqref="X123:X127">
    <cfRule type="cellIs" dxfId="1" priority="600" operator="equal">
      <formula>ر</formula>
    </cfRule>
  </conditionalFormatting>
  <conditionalFormatting sqref="X126:X130">
    <cfRule type="cellIs" dxfId="1" priority="622" operator="equal">
      <formula>ر</formula>
    </cfRule>
  </conditionalFormatting>
  <conditionalFormatting sqref="X129:X133">
    <cfRule type="cellIs" dxfId="1" priority="644" operator="equal">
      <formula>ر</formula>
    </cfRule>
  </conditionalFormatting>
  <conditionalFormatting sqref="X132:X136">
    <cfRule type="cellIs" dxfId="1" priority="666" operator="equal">
      <formula>ر</formula>
    </cfRule>
  </conditionalFormatting>
  <conditionalFormatting sqref="X14:X18">
    <cfRule type="cellIs" dxfId="1" priority="90" operator="equal">
      <formula>ر</formula>
    </cfRule>
  </conditionalFormatting>
  <conditionalFormatting sqref="X155:X159">
    <cfRule type="cellIs" dxfId="1" priority="690" operator="equal">
      <formula>ر</formula>
    </cfRule>
  </conditionalFormatting>
  <conditionalFormatting sqref="X158:X162">
    <cfRule type="cellIs" dxfId="1" priority="712" operator="equal">
      <formula>ر</formula>
    </cfRule>
  </conditionalFormatting>
  <conditionalFormatting sqref="X161:X165">
    <cfRule type="cellIs" dxfId="1" priority="734" operator="equal">
      <formula>ر</formula>
    </cfRule>
  </conditionalFormatting>
  <conditionalFormatting sqref="X164:X168">
    <cfRule type="cellIs" dxfId="1" priority="756" operator="equal">
      <formula>ر</formula>
    </cfRule>
  </conditionalFormatting>
  <conditionalFormatting sqref="X167:X171">
    <cfRule type="cellIs" dxfId="1" priority="778" operator="equal">
      <formula>ر</formula>
    </cfRule>
  </conditionalFormatting>
  <conditionalFormatting sqref="X170:X174">
    <cfRule type="cellIs" dxfId="1" priority="800" operator="equal">
      <formula>ر</formula>
    </cfRule>
  </conditionalFormatting>
  <conditionalFormatting sqref="X173:X177">
    <cfRule type="cellIs" dxfId="1" priority="822" operator="equal">
      <formula>ر</formula>
    </cfRule>
  </conditionalFormatting>
  <conditionalFormatting sqref="X176:X180">
    <cfRule type="cellIs" dxfId="1" priority="844" operator="equal">
      <formula>ر</formula>
    </cfRule>
  </conditionalFormatting>
  <conditionalFormatting sqref="X179:X183">
    <cfRule type="cellIs" dxfId="1" priority="866" operator="equal">
      <formula>ر</formula>
    </cfRule>
  </conditionalFormatting>
  <conditionalFormatting sqref="X17:X21">
    <cfRule type="cellIs" dxfId="1" priority="112" operator="equal">
      <formula>ر</formula>
    </cfRule>
  </conditionalFormatting>
  <conditionalFormatting sqref="X182:X186">
    <cfRule type="cellIs" dxfId="1" priority="888" operator="equal">
      <formula>ر</formula>
    </cfRule>
  </conditionalFormatting>
  <conditionalFormatting sqref="X205:X209">
    <cfRule type="cellIs" dxfId="1" priority="912" operator="equal">
      <formula>ر</formula>
    </cfRule>
  </conditionalFormatting>
  <conditionalFormatting sqref="X208:X212">
    <cfRule type="cellIs" dxfId="1" priority="934" operator="equal">
      <formula>ر</formula>
    </cfRule>
  </conditionalFormatting>
  <conditionalFormatting sqref="X20:X24">
    <cfRule type="cellIs" dxfId="1" priority="134" operator="equal">
      <formula>ر</formula>
    </cfRule>
  </conditionalFormatting>
  <conditionalFormatting sqref="X211:X215">
    <cfRule type="cellIs" dxfId="1" priority="956" operator="equal">
      <formula>ر</formula>
    </cfRule>
  </conditionalFormatting>
  <conditionalFormatting sqref="X214:X218">
    <cfRule type="cellIs" dxfId="1" priority="978" operator="equal">
      <formula>ر</formula>
    </cfRule>
  </conditionalFormatting>
  <conditionalFormatting sqref="X217:X221">
    <cfRule type="cellIs" dxfId="1" priority="1000" operator="equal">
      <formula>ر</formula>
    </cfRule>
  </conditionalFormatting>
  <conditionalFormatting sqref="X220:X224">
    <cfRule type="cellIs" dxfId="1" priority="1022" operator="equal">
      <formula>ر</formula>
    </cfRule>
  </conditionalFormatting>
  <conditionalFormatting sqref="X223:X227">
    <cfRule type="cellIs" dxfId="1" priority="1044" operator="equal">
      <formula>ر</formula>
    </cfRule>
  </conditionalFormatting>
  <conditionalFormatting sqref="X226:X230">
    <cfRule type="cellIs" dxfId="1" priority="1066" operator="equal">
      <formula>ر</formula>
    </cfRule>
  </conditionalFormatting>
  <conditionalFormatting sqref="X229:X233">
    <cfRule type="cellIs" dxfId="1" priority="1088" operator="equal">
      <formula>ر</formula>
    </cfRule>
  </conditionalFormatting>
  <conditionalFormatting sqref="X232:X236">
    <cfRule type="cellIs" dxfId="1" priority="1110" operator="equal">
      <formula>ر</formula>
    </cfRule>
  </conditionalFormatting>
  <conditionalFormatting sqref="X23:X27">
    <cfRule type="cellIs" dxfId="1" priority="156" operator="equal">
      <formula>ر</formula>
    </cfRule>
  </conditionalFormatting>
  <conditionalFormatting sqref="X26:X30">
    <cfRule type="cellIs" dxfId="1" priority="178" operator="equal">
      <formula>ر</formula>
    </cfRule>
  </conditionalFormatting>
  <conditionalFormatting sqref="X29:X33">
    <cfRule type="cellIs" dxfId="1" priority="200" operator="equal">
      <formula>ر</formula>
    </cfRule>
  </conditionalFormatting>
  <conditionalFormatting sqref="X32:X36">
    <cfRule type="cellIs" dxfId="1" priority="222" operator="equal">
      <formula>ر</formula>
    </cfRule>
  </conditionalFormatting>
  <conditionalFormatting sqref="X55:X59">
    <cfRule type="cellIs" dxfId="1" priority="246" operator="equal">
      <formula>ر</formula>
    </cfRule>
  </conditionalFormatting>
  <conditionalFormatting sqref="X58:X62">
    <cfRule type="cellIs" dxfId="1" priority="268" operator="equal">
      <formula>ر</formula>
    </cfRule>
  </conditionalFormatting>
  <conditionalFormatting sqref="X5:X9">
    <cfRule type="cellIs" dxfId="1" priority="24" operator="equal">
      <formula>ر</formula>
    </cfRule>
  </conditionalFormatting>
  <conditionalFormatting sqref="X61:X65">
    <cfRule type="cellIs" dxfId="1" priority="290" operator="equal">
      <formula>ر</formula>
    </cfRule>
  </conditionalFormatting>
  <conditionalFormatting sqref="X64:X68">
    <cfRule type="cellIs" dxfId="1" priority="312" operator="equal">
      <formula>ر</formula>
    </cfRule>
  </conditionalFormatting>
  <conditionalFormatting sqref="X67:X71">
    <cfRule type="cellIs" dxfId="1" priority="334" operator="equal">
      <formula>ر</formula>
    </cfRule>
  </conditionalFormatting>
  <conditionalFormatting sqref="X70:X74">
    <cfRule type="cellIs" dxfId="1" priority="356" operator="equal">
      <formula>ر</formula>
    </cfRule>
  </conditionalFormatting>
  <conditionalFormatting sqref="X73:X77">
    <cfRule type="cellIs" dxfId="1" priority="378" operator="equal">
      <formula>ر</formula>
    </cfRule>
  </conditionalFormatting>
  <conditionalFormatting sqref="X76:X80">
    <cfRule type="cellIs" dxfId="1" priority="400" operator="equal">
      <formula>ر</formula>
    </cfRule>
  </conditionalFormatting>
  <conditionalFormatting sqref="X79:X83">
    <cfRule type="cellIs" dxfId="1" priority="422" operator="equal">
      <formula>ر</formula>
    </cfRule>
  </conditionalFormatting>
  <conditionalFormatting sqref="X82:X86">
    <cfRule type="cellIs" dxfId="1" priority="444" operator="equal">
      <formula>ر</formula>
    </cfRule>
  </conditionalFormatting>
  <conditionalFormatting sqref="X8:X12">
    <cfRule type="cellIs" dxfId="1" priority="46" operator="equal">
      <formula>ر</formula>
    </cfRule>
  </conditionalFormatting>
  <conditionalFormatting sqref="Y105:Y109">
    <cfRule type="cellIs" dxfId="1" priority="467" operator="lessThan">
      <formula>50</formula>
    </cfRule>
  </conditionalFormatting>
  <conditionalFormatting sqref="Y108:Y112">
    <cfRule type="cellIs" dxfId="1" priority="489" operator="lessThan">
      <formula>50</formula>
    </cfRule>
  </conditionalFormatting>
  <conditionalFormatting sqref="Y111:Y115">
    <cfRule type="cellIs" dxfId="1" priority="511" operator="lessThan">
      <formula>50</formula>
    </cfRule>
  </conditionalFormatting>
  <conditionalFormatting sqref="Y114:Y118">
    <cfRule type="cellIs" dxfId="1" priority="533" operator="lessThan">
      <formula>50</formula>
    </cfRule>
  </conditionalFormatting>
  <conditionalFormatting sqref="Y117:Y121">
    <cfRule type="cellIs" dxfId="1" priority="555" operator="lessThan">
      <formula>50</formula>
    </cfRule>
  </conditionalFormatting>
  <conditionalFormatting sqref="Y11:Y15">
    <cfRule type="cellIs" dxfId="1" priority="67" operator="lessThan">
      <formula>50</formula>
    </cfRule>
  </conditionalFormatting>
  <conditionalFormatting sqref="Y120:Y124">
    <cfRule type="cellIs" dxfId="1" priority="577" operator="lessThan">
      <formula>50</formula>
    </cfRule>
  </conditionalFormatting>
  <conditionalFormatting sqref="Y123:Y127">
    <cfRule type="cellIs" dxfId="1" priority="599" operator="lessThan">
      <formula>50</formula>
    </cfRule>
  </conditionalFormatting>
  <conditionalFormatting sqref="Y126:Y130">
    <cfRule type="cellIs" dxfId="1" priority="621" operator="lessThan">
      <formula>50</formula>
    </cfRule>
  </conditionalFormatting>
  <conditionalFormatting sqref="Y129:Y133">
    <cfRule type="cellIs" dxfId="1" priority="643" operator="lessThan">
      <formula>50</formula>
    </cfRule>
  </conditionalFormatting>
  <conditionalFormatting sqref="Y132:Y136">
    <cfRule type="cellIs" dxfId="1" priority="665" operator="lessThan">
      <formula>50</formula>
    </cfRule>
  </conditionalFormatting>
  <conditionalFormatting sqref="Y14:Y18">
    <cfRule type="cellIs" dxfId="1" priority="89" operator="lessThan">
      <formula>50</formula>
    </cfRule>
  </conditionalFormatting>
  <conditionalFormatting sqref="Y155:Y159">
    <cfRule type="cellIs" dxfId="1" priority="689" operator="lessThan">
      <formula>50</formula>
    </cfRule>
  </conditionalFormatting>
  <conditionalFormatting sqref="Y158:Y162">
    <cfRule type="cellIs" dxfId="1" priority="711" operator="lessThan">
      <formula>50</formula>
    </cfRule>
  </conditionalFormatting>
  <conditionalFormatting sqref="Y161:Y165">
    <cfRule type="cellIs" dxfId="1" priority="733" operator="lessThan">
      <formula>50</formula>
    </cfRule>
  </conditionalFormatting>
  <conditionalFormatting sqref="Y164:Y168">
    <cfRule type="cellIs" dxfId="1" priority="755" operator="lessThan">
      <formula>50</formula>
    </cfRule>
  </conditionalFormatting>
  <conditionalFormatting sqref="Y167:Y171">
    <cfRule type="cellIs" dxfId="1" priority="777" operator="lessThan">
      <formula>50</formula>
    </cfRule>
  </conditionalFormatting>
  <conditionalFormatting sqref="Y170:Y174">
    <cfRule type="cellIs" dxfId="1" priority="799" operator="lessThan">
      <formula>50</formula>
    </cfRule>
  </conditionalFormatting>
  <conditionalFormatting sqref="Y173:Y177">
    <cfRule type="cellIs" dxfId="1" priority="821" operator="lessThan">
      <formula>50</formula>
    </cfRule>
  </conditionalFormatting>
  <conditionalFormatting sqref="Y176:Y180">
    <cfRule type="cellIs" dxfId="1" priority="843" operator="lessThan">
      <formula>50</formula>
    </cfRule>
  </conditionalFormatting>
  <conditionalFormatting sqref="Y179:Y183">
    <cfRule type="cellIs" dxfId="1" priority="865" operator="lessThan">
      <formula>50</formula>
    </cfRule>
  </conditionalFormatting>
  <conditionalFormatting sqref="Y17:Y21">
    <cfRule type="cellIs" dxfId="1" priority="111" operator="lessThan">
      <formula>50</formula>
    </cfRule>
  </conditionalFormatting>
  <conditionalFormatting sqref="Y182:Y186">
    <cfRule type="cellIs" dxfId="1" priority="887" operator="lessThan">
      <formula>50</formula>
    </cfRule>
  </conditionalFormatting>
  <conditionalFormatting sqref="Y205:Y209">
    <cfRule type="cellIs" dxfId="1" priority="911" operator="lessThan">
      <formula>50</formula>
    </cfRule>
  </conditionalFormatting>
  <conditionalFormatting sqref="Y208:Y212">
    <cfRule type="cellIs" dxfId="1" priority="933" operator="lessThan">
      <formula>50</formula>
    </cfRule>
  </conditionalFormatting>
  <conditionalFormatting sqref="Y20:Y24">
    <cfRule type="cellIs" dxfId="1" priority="133" operator="lessThan">
      <formula>50</formula>
    </cfRule>
  </conditionalFormatting>
  <conditionalFormatting sqref="Y211:Y215">
    <cfRule type="cellIs" dxfId="1" priority="955" operator="lessThan">
      <formula>50</formula>
    </cfRule>
  </conditionalFormatting>
  <conditionalFormatting sqref="Y214:Y218">
    <cfRule type="cellIs" dxfId="1" priority="977" operator="lessThan">
      <formula>50</formula>
    </cfRule>
  </conditionalFormatting>
  <conditionalFormatting sqref="Y217:Y221">
    <cfRule type="cellIs" dxfId="1" priority="999" operator="lessThan">
      <formula>50</formula>
    </cfRule>
  </conditionalFormatting>
  <conditionalFormatting sqref="Y220:Y224">
    <cfRule type="cellIs" dxfId="1" priority="1021" operator="lessThan">
      <formula>50</formula>
    </cfRule>
  </conditionalFormatting>
  <conditionalFormatting sqref="Y223:Y227">
    <cfRule type="cellIs" dxfId="1" priority="1043" operator="lessThan">
      <formula>50</formula>
    </cfRule>
  </conditionalFormatting>
  <conditionalFormatting sqref="Y226:Y230">
    <cfRule type="cellIs" dxfId="1" priority="1065" operator="lessThan">
      <formula>50</formula>
    </cfRule>
  </conditionalFormatting>
  <conditionalFormatting sqref="Y229:Y233">
    <cfRule type="cellIs" dxfId="1" priority="1087" operator="lessThan">
      <formula>50</formula>
    </cfRule>
  </conditionalFormatting>
  <conditionalFormatting sqref="Y232:Y236">
    <cfRule type="cellIs" dxfId="1" priority="1109" operator="lessThan">
      <formula>50</formula>
    </cfRule>
  </conditionalFormatting>
  <conditionalFormatting sqref="Y23:Y27">
    <cfRule type="cellIs" dxfId="1" priority="155" operator="lessThan">
      <formula>50</formula>
    </cfRule>
  </conditionalFormatting>
  <conditionalFormatting sqref="Y26:Y30">
    <cfRule type="cellIs" dxfId="1" priority="177" operator="lessThan">
      <formula>50</formula>
    </cfRule>
  </conditionalFormatting>
  <conditionalFormatting sqref="Y29:Y33">
    <cfRule type="cellIs" dxfId="1" priority="199" operator="lessThan">
      <formula>50</formula>
    </cfRule>
  </conditionalFormatting>
  <conditionalFormatting sqref="Y32:Y36">
    <cfRule type="cellIs" dxfId="1" priority="221" operator="lessThan">
      <formula>50</formula>
    </cfRule>
  </conditionalFormatting>
  <conditionalFormatting sqref="Y55:Y59">
    <cfRule type="cellIs" dxfId="1" priority="245" operator="lessThan">
      <formula>50</formula>
    </cfRule>
  </conditionalFormatting>
  <conditionalFormatting sqref="Y58:Y62">
    <cfRule type="cellIs" dxfId="1" priority="267" operator="lessThan">
      <formula>50</formula>
    </cfRule>
  </conditionalFormatting>
  <conditionalFormatting sqref="Y5:Y9">
    <cfRule type="cellIs" dxfId="1" priority="23" operator="lessThan">
      <formula>50</formula>
    </cfRule>
  </conditionalFormatting>
  <conditionalFormatting sqref="Y61:Y65">
    <cfRule type="cellIs" dxfId="1" priority="289" operator="lessThan">
      <formula>50</formula>
    </cfRule>
  </conditionalFormatting>
  <conditionalFormatting sqref="Y64:Y68">
    <cfRule type="cellIs" dxfId="1" priority="311" operator="lessThan">
      <formula>50</formula>
    </cfRule>
  </conditionalFormatting>
  <conditionalFormatting sqref="Y67:Y71">
    <cfRule type="cellIs" dxfId="1" priority="333" operator="lessThan">
      <formula>50</formula>
    </cfRule>
  </conditionalFormatting>
  <conditionalFormatting sqref="Y70:Y74">
    <cfRule type="cellIs" dxfId="1" priority="355" operator="lessThan">
      <formula>50</formula>
    </cfRule>
  </conditionalFormatting>
  <conditionalFormatting sqref="Y73:Y77">
    <cfRule type="cellIs" dxfId="1" priority="377" operator="lessThan">
      <formula>50</formula>
    </cfRule>
  </conditionalFormatting>
  <conditionalFormatting sqref="Y76:Y80">
    <cfRule type="cellIs" dxfId="1" priority="399" operator="lessThan">
      <formula>50</formula>
    </cfRule>
  </conditionalFormatting>
  <conditionalFormatting sqref="Y79:Y83">
    <cfRule type="cellIs" dxfId="1" priority="421" operator="lessThan">
      <formula>50</formula>
    </cfRule>
  </conditionalFormatting>
  <conditionalFormatting sqref="Y82:Y86">
    <cfRule type="cellIs" dxfId="1" priority="443" operator="lessThan">
      <formula>50</formula>
    </cfRule>
  </conditionalFormatting>
  <conditionalFormatting sqref="Y8:Y12">
    <cfRule type="cellIs" dxfId="1" priority="45" operator="lessThan">
      <formula>50</formula>
    </cfRule>
  </conditionalFormatting>
  <pageMargins left="0.7" right="0.7" top="0.75" bottom="0.75" header="0.3" footer="0.3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5:AW56"/>
  <sheetViews>
    <sheetView rightToLeft="1" workbookViewId="0"/>
  </sheetViews>
  <sheetFormatPr defaultRowHeight="15"/>
  <cols>
    <col min="2" max="2" width="30.7109375" customWidth="1"/>
    <col min="18" max="18" width="30.7109375" customWidth="1"/>
  </cols>
  <sheetData>
    <row r="5" spans="1:49">
      <c r="D5" s="5">
        <v>7</v>
      </c>
      <c r="E5" s="5">
        <v>2</v>
      </c>
      <c r="F5" s="5">
        <v>6</v>
      </c>
      <c r="G5" s="5">
        <v>7</v>
      </c>
      <c r="H5" s="5">
        <v>4</v>
      </c>
      <c r="I5" s="5">
        <v>2</v>
      </c>
      <c r="J5" s="5">
        <v>4</v>
      </c>
      <c r="K5" s="5">
        <v>4</v>
      </c>
      <c r="L5" s="5">
        <v>2</v>
      </c>
      <c r="M5" s="5">
        <v>0</v>
      </c>
      <c r="N5" s="5">
        <v>3</v>
      </c>
    </row>
    <row r="6" spans="1:49">
      <c r="A6" s="5" t="s">
        <v>9</v>
      </c>
      <c r="B6" s="5" t="s">
        <v>12</v>
      </c>
      <c r="C6" s="5" t="s">
        <v>10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20</v>
      </c>
      <c r="L6" s="5" t="s">
        <v>21</v>
      </c>
      <c r="M6" s="5" t="s">
        <v>22</v>
      </c>
      <c r="N6" s="5" t="s">
        <v>21</v>
      </c>
      <c r="O6" s="5" t="s">
        <v>23</v>
      </c>
      <c r="P6" s="5" t="s">
        <v>24</v>
      </c>
      <c r="Q6" s="5" t="s">
        <v>25</v>
      </c>
      <c r="R6" s="5" t="s">
        <v>9</v>
      </c>
      <c r="S6" s="5" t="s">
        <v>12</v>
      </c>
      <c r="T6" s="5" t="s">
        <v>13</v>
      </c>
      <c r="U6" s="5" t="s">
        <v>14</v>
      </c>
      <c r="V6" s="5" t="s">
        <v>15</v>
      </c>
      <c r="W6" s="5" t="s">
        <v>16</v>
      </c>
      <c r="X6" s="5" t="s">
        <v>17</v>
      </c>
      <c r="Y6" s="5" t="s">
        <v>18</v>
      </c>
      <c r="Z6" s="5" t="s">
        <v>19</v>
      </c>
      <c r="AA6" s="5" t="s">
        <v>20</v>
      </c>
      <c r="AB6" s="5" t="s">
        <v>21</v>
      </c>
      <c r="AC6" s="5" t="s">
        <v>22</v>
      </c>
      <c r="AD6" s="5" t="s">
        <v>21</v>
      </c>
      <c r="AE6" s="5" t="s">
        <v>23</v>
      </c>
      <c r="AF6" s="5" t="s">
        <v>24</v>
      </c>
      <c r="AG6" s="5" t="s">
        <v>25</v>
      </c>
      <c r="AH6" s="5" t="s">
        <v>28</v>
      </c>
      <c r="AL6" s="5" t="s">
        <v>13</v>
      </c>
      <c r="AM6" s="5" t="s">
        <v>14</v>
      </c>
      <c r="AN6" s="5" t="s">
        <v>15</v>
      </c>
      <c r="AO6" s="5" t="s">
        <v>16</v>
      </c>
      <c r="AP6" s="5" t="s">
        <v>17</v>
      </c>
      <c r="AQ6" s="5" t="s">
        <v>18</v>
      </c>
      <c r="AR6" s="5" t="s">
        <v>19</v>
      </c>
      <c r="AS6" s="5" t="s">
        <v>20</v>
      </c>
      <c r="AT6" s="5" t="s">
        <v>21</v>
      </c>
      <c r="AU6" s="5" t="s">
        <v>22</v>
      </c>
      <c r="AV6" s="5" t="s">
        <v>21</v>
      </c>
    </row>
    <row r="7" spans="1:49">
      <c r="A7" s="5">
        <f>MasterSheet!B7</f>
        <v>0</v>
      </c>
      <c r="B7" s="5">
        <f>MasterSheet!C7</f>
        <v>0</v>
      </c>
      <c r="C7" s="5">
        <f>MasterSheet!D7</f>
        <v>0</v>
      </c>
      <c r="D7" s="5">
        <f>MasterSheet!E7</f>
        <v>0</v>
      </c>
      <c r="E7" s="5">
        <f>MasterSheet!G7</f>
        <v>0</v>
      </c>
      <c r="F7" s="5">
        <f>MasterSheet!I7</f>
        <v>0</v>
      </c>
      <c r="G7" s="5">
        <f>MasterSheet!K7</f>
        <v>0</v>
      </c>
      <c r="H7" s="5">
        <f>MasterSheet!M7</f>
        <v>0</v>
      </c>
      <c r="I7" s="5">
        <f>MasterSheet!O7</f>
        <v>0</v>
      </c>
      <c r="J7" s="5">
        <f>MasterSheet!Q7</f>
        <v>0</v>
      </c>
      <c r="K7" s="5">
        <f>MasterSheet!S7</f>
        <v>0</v>
      </c>
      <c r="L7" s="5">
        <f>MasterSheet!U7</f>
        <v>0</v>
      </c>
      <c r="M7" s="5">
        <f>MasterSheet!W7</f>
        <v>0</v>
      </c>
      <c r="N7" s="5">
        <f>MasterSheet!Y7</f>
        <v>0</v>
      </c>
      <c r="O7" s="5">
        <f>MasterSheet!AA7</f>
        <v>0</v>
      </c>
      <c r="P7" s="5">
        <f>MasterSheet!AB7</f>
        <v>0</v>
      </c>
      <c r="Q7" s="5">
        <f>MasterSheet!AC7</f>
        <v>0</v>
      </c>
      <c r="R7" s="5">
        <f>A7</f>
        <v>0</v>
      </c>
      <c r="S7" s="5">
        <f>B7</f>
        <v>0</v>
      </c>
      <c r="T7" s="5">
        <f>IF(D7&gt;=90,"امتياز",IF(D7&gt;=80,"جـيد جدا",IF(D7&gt;=70,"جـيد",IF(D7&gt;=60,"متوسط",IF(D7&gt;=50,"مقبول","راسب")))))</f>
        <v>0</v>
      </c>
      <c r="U7" s="5">
        <f>IF(E7&gt;=90,"امتياز",IF(E7&gt;=80,"جـيد جدا",IF(E7&gt;=70,"جـيد",IF(E7&gt;=60,"متوسط",IF(E7&gt;=50,"مقبول","راسب")))))</f>
        <v>0</v>
      </c>
      <c r="V7" s="5">
        <f>IF(F7&gt;=90,"امتياز",IF(F7&gt;=80,"جـيد جدا",IF(F7&gt;=70,"جـيد",IF(F7&gt;=60,"متوسط",IF(F7&gt;=50,"مقبول","راسب")))))</f>
        <v>0</v>
      </c>
      <c r="W7" s="5">
        <f>IF(G7&gt;=90,"امتياز",IF(G7&gt;=80,"جـيد جدا",IF(G7&gt;=70,"جـيد",IF(G7&gt;=60,"متوسط",IF(G7&gt;=50,"مقبول","راسب")))))</f>
        <v>0</v>
      </c>
      <c r="X7" s="5">
        <f>IF(H7&gt;=90,"امتياز",IF(H7&gt;=80,"جـيد جدا",IF(H7&gt;=70,"جـيد",IF(H7&gt;=60,"متوسط",IF(H7&gt;=50,"مقبول","راسب")))))</f>
        <v>0</v>
      </c>
      <c r="Y7" s="5">
        <f>IF(I7&gt;=90,"امتياز",IF(I7&gt;=80,"جـيد جدا",IF(I7&gt;=70,"جـيد",IF(I7&gt;=60,"متوسط",IF(I7&gt;=50,"مقبول","راسب")))))</f>
        <v>0</v>
      </c>
      <c r="Z7" s="5">
        <f>IF(J7&gt;=90,"امتياز",IF(J7&gt;=80,"جـيد جدا",IF(J7&gt;=70,"جـيد",IF(J7&gt;=60,"متوسط",IF(J7&gt;=50,"مقبول","راسب")))))</f>
        <v>0</v>
      </c>
      <c r="AA7" s="5">
        <f>IF(K7&gt;=90,"امتياز",IF(K7&gt;=80,"جـيد جدا",IF(K7&gt;=70,"جـيد",IF(K7&gt;=60,"متوسط",IF(K7&gt;=50,"مقبول","راسب")))))</f>
        <v>0</v>
      </c>
      <c r="AB7" s="5">
        <f>IF(L7&gt;=90,"امتياز",IF(L7&gt;=80,"جـيد جدا",IF(L7&gt;=70,"جـيد",IF(L7&gt;=60,"متوسط",IF(L7&gt;=50,"مقبول","راسب")))))</f>
        <v>0</v>
      </c>
      <c r="AC7" s="5">
        <f>IF(M7&gt;=90,"امتياز",IF(M7&gt;=80,"جـيد جدا",IF(M7&gt;=70,"جـيد",IF(M7&gt;=60,"متوسط",IF(M7&gt;=50,"مقبول","راسب")))))</f>
        <v>0</v>
      </c>
      <c r="AD7" s="5">
        <f>IF(N7&gt;=90,"امتياز",IF(N7&gt;=80,"جـيد جدا",IF(N7&gt;=70,"جـيد",IF(N7&gt;=60,"متوسط",IF(N7&gt;=50,"مقبول","راسب")))))</f>
        <v>0</v>
      </c>
      <c r="AE7" s="5">
        <f>MasterSheet!AA7</f>
        <v>0</v>
      </c>
      <c r="AF7" s="5">
        <f>MasterSheet!AB7</f>
        <v>0</v>
      </c>
      <c r="AG7" s="5">
        <f>MasterSheet!AC7</f>
        <v>0</v>
      </c>
      <c r="AL7" s="5">
        <f>IF(D7 &gt;=50,"P","F")</f>
        <v>0</v>
      </c>
      <c r="AM7" s="5">
        <f>IF(E7 &gt;=50,"P","F")</f>
        <v>0</v>
      </c>
      <c r="AN7" s="5">
        <f>IF(F7 &gt;=50,"P","F")</f>
        <v>0</v>
      </c>
      <c r="AO7" s="5">
        <f>IF(G7 &gt;=50,"P","F")</f>
        <v>0</v>
      </c>
      <c r="AP7" s="5">
        <f>IF(H7 &gt;=50,"P","F")</f>
        <v>0</v>
      </c>
      <c r="AQ7" s="5">
        <f>IF(I7 &gt;=50,"P","F")</f>
        <v>0</v>
      </c>
      <c r="AR7" s="5">
        <f>IF(J7 &gt;=50,"P","F")</f>
        <v>0</v>
      </c>
      <c r="AS7" s="5">
        <f>IF(K7 &gt;=50,"P","F")</f>
        <v>0</v>
      </c>
      <c r="AT7" s="5">
        <f>IF(L7 &gt;=50,"P","F")</f>
        <v>0</v>
      </c>
      <c r="AU7" s="5">
        <f>IF(M7 &gt;=50,"P","F")</f>
        <v>0</v>
      </c>
      <c r="AV7" s="5">
        <f>IF(N7 &gt;=50,"P","F")</f>
        <v>0</v>
      </c>
      <c r="AW7" s="5">
        <f>IF(AND(N7&gt;=50,N7&gt;=50,F7&gt;=50,G7&gt;=50,H7&gt;=50,I7&gt;=50,J7&gt;=50,K7&gt;=50,L7&gt;=50,M7&gt;=50),"P","F")</f>
        <v>0</v>
      </c>
    </row>
    <row r="8" spans="1:49">
      <c r="A8" s="5">
        <f>MasterSheet!B10</f>
        <v>0</v>
      </c>
      <c r="B8" s="5">
        <f>MasterSheet!C10</f>
        <v>0</v>
      </c>
      <c r="C8" s="5">
        <f>MasterSheet!D10</f>
        <v>0</v>
      </c>
      <c r="D8" s="5">
        <f>MasterSheet!E10</f>
        <v>0</v>
      </c>
      <c r="E8" s="5">
        <f>MasterSheet!G10</f>
        <v>0</v>
      </c>
      <c r="F8" s="5">
        <f>MasterSheet!I10</f>
        <v>0</v>
      </c>
      <c r="G8" s="5">
        <f>MasterSheet!K10</f>
        <v>0</v>
      </c>
      <c r="H8" s="5">
        <f>MasterSheet!M10</f>
        <v>0</v>
      </c>
      <c r="I8" s="5">
        <f>MasterSheet!O10</f>
        <v>0</v>
      </c>
      <c r="J8" s="5">
        <f>MasterSheet!Q10</f>
        <v>0</v>
      </c>
      <c r="K8" s="5">
        <f>MasterSheet!S10</f>
        <v>0</v>
      </c>
      <c r="L8" s="5">
        <f>MasterSheet!U10</f>
        <v>0</v>
      </c>
      <c r="M8" s="5">
        <f>MasterSheet!W10</f>
        <v>0</v>
      </c>
      <c r="N8" s="5">
        <f>MasterSheet!Y10</f>
        <v>0</v>
      </c>
      <c r="O8" s="5">
        <f>MasterSheet!AA10</f>
        <v>0</v>
      </c>
      <c r="P8" s="5">
        <f>MasterSheet!AB10</f>
        <v>0</v>
      </c>
      <c r="Q8" s="5">
        <f>MasterSheet!AC10</f>
        <v>0</v>
      </c>
      <c r="R8" s="5">
        <f>A8</f>
        <v>0</v>
      </c>
      <c r="S8" s="5">
        <f>B8</f>
        <v>0</v>
      </c>
      <c r="T8" s="5">
        <f>IF(D8&gt;=90,"امتياز",IF(D8&gt;=80,"جـيد جدا",IF(D8&gt;=70,"جـيد",IF(D8&gt;=60,"متوسط",IF(D8&gt;=50,"مقبول","راسب")))))</f>
        <v>0</v>
      </c>
      <c r="U8" s="5">
        <f>IF(E8&gt;=90,"امتياز",IF(E8&gt;=80,"جـيد جدا",IF(E8&gt;=70,"جـيد",IF(E8&gt;=60,"متوسط",IF(E8&gt;=50,"مقبول","راسب")))))</f>
        <v>0</v>
      </c>
      <c r="V8" s="5">
        <f>IF(F8&gt;=90,"امتياز",IF(F8&gt;=80,"جـيد جدا",IF(F8&gt;=70,"جـيد",IF(F8&gt;=60,"متوسط",IF(F8&gt;=50,"مقبول","راسب")))))</f>
        <v>0</v>
      </c>
      <c r="W8" s="5">
        <f>IF(G8&gt;=90,"امتياز",IF(G8&gt;=80,"جـيد جدا",IF(G8&gt;=70,"جـيد",IF(G8&gt;=60,"متوسط",IF(G8&gt;=50,"مقبول","راسب")))))</f>
        <v>0</v>
      </c>
      <c r="X8" s="5">
        <f>IF(H8&gt;=90,"امتياز",IF(H8&gt;=80,"جـيد جدا",IF(H8&gt;=70,"جـيد",IF(H8&gt;=60,"متوسط",IF(H8&gt;=50,"مقبول","راسب")))))</f>
        <v>0</v>
      </c>
      <c r="Y8" s="5">
        <f>IF(I8&gt;=90,"امتياز",IF(I8&gt;=80,"جـيد جدا",IF(I8&gt;=70,"جـيد",IF(I8&gt;=60,"متوسط",IF(I8&gt;=50,"مقبول","راسب")))))</f>
        <v>0</v>
      </c>
      <c r="Z8" s="5">
        <f>IF(J8&gt;=90,"امتياز",IF(J8&gt;=80,"جـيد جدا",IF(J8&gt;=70,"جـيد",IF(J8&gt;=60,"متوسط",IF(J8&gt;=50,"مقبول","راسب")))))</f>
        <v>0</v>
      </c>
      <c r="AA8" s="5">
        <f>IF(K8&gt;=90,"امتياز",IF(K8&gt;=80,"جـيد جدا",IF(K8&gt;=70,"جـيد",IF(K8&gt;=60,"متوسط",IF(K8&gt;=50,"مقبول","راسب")))))</f>
        <v>0</v>
      </c>
      <c r="AB8" s="5">
        <f>IF(L8&gt;=90,"امتياز",IF(L8&gt;=80,"جـيد جدا",IF(L8&gt;=70,"جـيد",IF(L8&gt;=60,"متوسط",IF(L8&gt;=50,"مقبول","راسب")))))</f>
        <v>0</v>
      </c>
      <c r="AC8" s="5">
        <f>IF(M8&gt;=90,"امتياز",IF(M8&gt;=80,"جـيد جدا",IF(M8&gt;=70,"جـيد",IF(M8&gt;=60,"متوسط",IF(M8&gt;=50,"مقبول","راسب")))))</f>
        <v>0</v>
      </c>
      <c r="AD8" s="5">
        <f>IF(N8&gt;=90,"امتياز",IF(N8&gt;=80,"جـيد جدا",IF(N8&gt;=70,"جـيد",IF(N8&gt;=60,"متوسط",IF(N8&gt;=50,"مقبول","راسب")))))</f>
        <v>0</v>
      </c>
      <c r="AE8" s="5">
        <f>MasterSheet!AA10</f>
        <v>0</v>
      </c>
      <c r="AF8" s="5">
        <f>MasterSheet!AB10</f>
        <v>0</v>
      </c>
      <c r="AG8" s="5">
        <f>MasterSheet!AC10</f>
        <v>0</v>
      </c>
      <c r="AL8" s="5">
        <f>IF(D8 &gt;=50,"P","F")</f>
        <v>0</v>
      </c>
      <c r="AM8" s="5">
        <f>IF(E8 &gt;=50,"P","F")</f>
        <v>0</v>
      </c>
      <c r="AN8" s="5">
        <f>IF(F8 &gt;=50,"P","F")</f>
        <v>0</v>
      </c>
      <c r="AO8" s="5">
        <f>IF(G8 &gt;=50,"P","F")</f>
        <v>0</v>
      </c>
      <c r="AP8" s="5">
        <f>IF(H8 &gt;=50,"P","F")</f>
        <v>0</v>
      </c>
      <c r="AQ8" s="5">
        <f>IF(I8 &gt;=50,"P","F")</f>
        <v>0</v>
      </c>
      <c r="AR8" s="5">
        <f>IF(J8 &gt;=50,"P","F")</f>
        <v>0</v>
      </c>
      <c r="AS8" s="5">
        <f>IF(K8 &gt;=50,"P","F")</f>
        <v>0</v>
      </c>
      <c r="AT8" s="5">
        <f>IF(L8 &gt;=50,"P","F")</f>
        <v>0</v>
      </c>
      <c r="AU8" s="5">
        <f>IF(M8 &gt;=50,"P","F")</f>
        <v>0</v>
      </c>
      <c r="AV8" s="5">
        <f>IF(N8 &gt;=50,"P","F")</f>
        <v>0</v>
      </c>
      <c r="AW8" s="5">
        <f>IF(AND(N8&gt;=50,N8&gt;=50,F8&gt;=50,G8&gt;=50,H8&gt;=50,I8&gt;=50,J8&gt;=50,K8&gt;=50,L8&gt;=50,M8&gt;=50),"P","F")</f>
        <v>0</v>
      </c>
    </row>
    <row r="9" spans="1:49">
      <c r="A9" s="5">
        <f>MasterSheet!B13</f>
        <v>0</v>
      </c>
      <c r="B9" s="5">
        <f>MasterSheet!C13</f>
        <v>0</v>
      </c>
      <c r="C9" s="5">
        <f>MasterSheet!D13</f>
        <v>0</v>
      </c>
      <c r="D9" s="5">
        <f>MasterSheet!E13</f>
        <v>0</v>
      </c>
      <c r="E9" s="5">
        <f>MasterSheet!G13</f>
        <v>0</v>
      </c>
      <c r="F9" s="5">
        <f>MasterSheet!I13</f>
        <v>0</v>
      </c>
      <c r="G9" s="5">
        <f>MasterSheet!K13</f>
        <v>0</v>
      </c>
      <c r="H9" s="5">
        <f>MasterSheet!M13</f>
        <v>0</v>
      </c>
      <c r="I9" s="5">
        <f>MasterSheet!O13</f>
        <v>0</v>
      </c>
      <c r="J9" s="5">
        <f>MasterSheet!Q13</f>
        <v>0</v>
      </c>
      <c r="K9" s="5">
        <f>MasterSheet!S13</f>
        <v>0</v>
      </c>
      <c r="L9" s="5">
        <f>MasterSheet!U13</f>
        <v>0</v>
      </c>
      <c r="M9" s="5">
        <f>MasterSheet!W13</f>
        <v>0</v>
      </c>
      <c r="N9" s="5">
        <f>MasterSheet!Y13</f>
        <v>0</v>
      </c>
      <c r="O9" s="5">
        <f>MasterSheet!AA13</f>
        <v>0</v>
      </c>
      <c r="P9" s="5">
        <f>MasterSheet!AB13</f>
        <v>0</v>
      </c>
      <c r="Q9" s="5">
        <f>MasterSheet!AC13</f>
        <v>0</v>
      </c>
      <c r="R9" s="5">
        <f>A9</f>
        <v>0</v>
      </c>
      <c r="S9" s="5">
        <f>B9</f>
        <v>0</v>
      </c>
      <c r="T9" s="5">
        <f>IF(D9&gt;=90,"امتياز",IF(D9&gt;=80,"جـيد جدا",IF(D9&gt;=70,"جـيد",IF(D9&gt;=60,"متوسط",IF(D9&gt;=50,"مقبول","راسب")))))</f>
        <v>0</v>
      </c>
      <c r="U9" s="5">
        <f>IF(E9&gt;=90,"امتياز",IF(E9&gt;=80,"جـيد جدا",IF(E9&gt;=70,"جـيد",IF(E9&gt;=60,"متوسط",IF(E9&gt;=50,"مقبول","راسب")))))</f>
        <v>0</v>
      </c>
      <c r="V9" s="5">
        <f>IF(F9&gt;=90,"امتياز",IF(F9&gt;=80,"جـيد جدا",IF(F9&gt;=70,"جـيد",IF(F9&gt;=60,"متوسط",IF(F9&gt;=50,"مقبول","راسب")))))</f>
        <v>0</v>
      </c>
      <c r="W9" s="5">
        <f>IF(G9&gt;=90,"امتياز",IF(G9&gt;=80,"جـيد جدا",IF(G9&gt;=70,"جـيد",IF(G9&gt;=60,"متوسط",IF(G9&gt;=50,"مقبول","راسب")))))</f>
        <v>0</v>
      </c>
      <c r="X9" s="5">
        <f>IF(H9&gt;=90,"امتياز",IF(H9&gt;=80,"جـيد جدا",IF(H9&gt;=70,"جـيد",IF(H9&gt;=60,"متوسط",IF(H9&gt;=50,"مقبول","راسب")))))</f>
        <v>0</v>
      </c>
      <c r="Y9" s="5">
        <f>IF(I9&gt;=90,"امتياز",IF(I9&gt;=80,"جـيد جدا",IF(I9&gt;=70,"جـيد",IF(I9&gt;=60,"متوسط",IF(I9&gt;=50,"مقبول","راسب")))))</f>
        <v>0</v>
      </c>
      <c r="Z9" s="5">
        <f>IF(J9&gt;=90,"امتياز",IF(J9&gt;=80,"جـيد جدا",IF(J9&gt;=70,"جـيد",IF(J9&gt;=60,"متوسط",IF(J9&gt;=50,"مقبول","راسب")))))</f>
        <v>0</v>
      </c>
      <c r="AA9" s="5">
        <f>IF(K9&gt;=90,"امتياز",IF(K9&gt;=80,"جـيد جدا",IF(K9&gt;=70,"جـيد",IF(K9&gt;=60,"متوسط",IF(K9&gt;=50,"مقبول","راسب")))))</f>
        <v>0</v>
      </c>
      <c r="AB9" s="5">
        <f>IF(L9&gt;=90,"امتياز",IF(L9&gt;=80,"جـيد جدا",IF(L9&gt;=70,"جـيد",IF(L9&gt;=60,"متوسط",IF(L9&gt;=50,"مقبول","راسب")))))</f>
        <v>0</v>
      </c>
      <c r="AC9" s="5">
        <f>IF(M9&gt;=90,"امتياز",IF(M9&gt;=80,"جـيد جدا",IF(M9&gt;=70,"جـيد",IF(M9&gt;=60,"متوسط",IF(M9&gt;=50,"مقبول","راسب")))))</f>
        <v>0</v>
      </c>
      <c r="AD9" s="5">
        <f>IF(N9&gt;=90,"امتياز",IF(N9&gt;=80,"جـيد جدا",IF(N9&gt;=70,"جـيد",IF(N9&gt;=60,"متوسط",IF(N9&gt;=50,"مقبول","راسب")))))</f>
        <v>0</v>
      </c>
      <c r="AE9" s="5">
        <f>MasterSheet!AA13</f>
        <v>0</v>
      </c>
      <c r="AF9" s="5">
        <f>MasterSheet!AB13</f>
        <v>0</v>
      </c>
      <c r="AG9" s="5">
        <f>MasterSheet!AC13</f>
        <v>0</v>
      </c>
      <c r="AL9" s="5">
        <f>IF(D9 &gt;=50,"P","F")</f>
        <v>0</v>
      </c>
      <c r="AM9" s="5">
        <f>IF(E9 &gt;=50,"P","F")</f>
        <v>0</v>
      </c>
      <c r="AN9" s="5">
        <f>IF(F9 &gt;=50,"P","F")</f>
        <v>0</v>
      </c>
      <c r="AO9" s="5">
        <f>IF(G9 &gt;=50,"P","F")</f>
        <v>0</v>
      </c>
      <c r="AP9" s="5">
        <f>IF(H9 &gt;=50,"P","F")</f>
        <v>0</v>
      </c>
      <c r="AQ9" s="5">
        <f>IF(I9 &gt;=50,"P","F")</f>
        <v>0</v>
      </c>
      <c r="AR9" s="5">
        <f>IF(J9 &gt;=50,"P","F")</f>
        <v>0</v>
      </c>
      <c r="AS9" s="5">
        <f>IF(K9 &gt;=50,"P","F")</f>
        <v>0</v>
      </c>
      <c r="AT9" s="5">
        <f>IF(L9 &gt;=50,"P","F")</f>
        <v>0</v>
      </c>
      <c r="AU9" s="5">
        <f>IF(M9 &gt;=50,"P","F")</f>
        <v>0</v>
      </c>
      <c r="AV9" s="5">
        <f>IF(N9 &gt;=50,"P","F")</f>
        <v>0</v>
      </c>
      <c r="AW9" s="5">
        <f>IF(AND(N9&gt;=50,N9&gt;=50,F9&gt;=50,G9&gt;=50,H9&gt;=50,I9&gt;=50,J9&gt;=50,K9&gt;=50,L9&gt;=50,M9&gt;=50),"P","F")</f>
        <v>0</v>
      </c>
    </row>
    <row r="10" spans="1:49">
      <c r="A10" s="5">
        <f>MasterSheet!B16</f>
        <v>0</v>
      </c>
      <c r="B10" s="5">
        <f>MasterSheet!C16</f>
        <v>0</v>
      </c>
      <c r="C10" s="5">
        <f>MasterSheet!D16</f>
        <v>0</v>
      </c>
      <c r="D10" s="5">
        <f>MasterSheet!E16</f>
        <v>0</v>
      </c>
      <c r="E10" s="5">
        <f>MasterSheet!G16</f>
        <v>0</v>
      </c>
      <c r="F10" s="5">
        <f>MasterSheet!I16</f>
        <v>0</v>
      </c>
      <c r="G10" s="5">
        <f>MasterSheet!K16</f>
        <v>0</v>
      </c>
      <c r="H10" s="5">
        <f>MasterSheet!M16</f>
        <v>0</v>
      </c>
      <c r="I10" s="5">
        <f>MasterSheet!O16</f>
        <v>0</v>
      </c>
      <c r="J10" s="5">
        <f>MasterSheet!Q16</f>
        <v>0</v>
      </c>
      <c r="K10" s="5">
        <f>MasterSheet!S16</f>
        <v>0</v>
      </c>
      <c r="L10" s="5">
        <f>MasterSheet!U16</f>
        <v>0</v>
      </c>
      <c r="M10" s="5">
        <f>MasterSheet!W16</f>
        <v>0</v>
      </c>
      <c r="N10" s="5">
        <f>MasterSheet!Y16</f>
        <v>0</v>
      </c>
      <c r="O10" s="5">
        <f>MasterSheet!AA16</f>
        <v>0</v>
      </c>
      <c r="P10" s="5">
        <f>MasterSheet!AB16</f>
        <v>0</v>
      </c>
      <c r="Q10" s="5">
        <f>MasterSheet!AC16</f>
        <v>0</v>
      </c>
      <c r="R10" s="5">
        <f>A10</f>
        <v>0</v>
      </c>
      <c r="S10" s="5">
        <f>B10</f>
        <v>0</v>
      </c>
      <c r="T10" s="5">
        <f>IF(D10&gt;=90,"امتياز",IF(D10&gt;=80,"جـيد جدا",IF(D10&gt;=70,"جـيد",IF(D10&gt;=60,"متوسط",IF(D10&gt;=50,"مقبول","راسب")))))</f>
        <v>0</v>
      </c>
      <c r="U10" s="5">
        <f>IF(E10&gt;=90,"امتياز",IF(E10&gt;=80,"جـيد جدا",IF(E10&gt;=70,"جـيد",IF(E10&gt;=60,"متوسط",IF(E10&gt;=50,"مقبول","راسب")))))</f>
        <v>0</v>
      </c>
      <c r="V10" s="5">
        <f>IF(F10&gt;=90,"امتياز",IF(F10&gt;=80,"جـيد جدا",IF(F10&gt;=70,"جـيد",IF(F10&gt;=60,"متوسط",IF(F10&gt;=50,"مقبول","راسب")))))</f>
        <v>0</v>
      </c>
      <c r="W10" s="5">
        <f>IF(G10&gt;=90,"امتياز",IF(G10&gt;=80,"جـيد جدا",IF(G10&gt;=70,"جـيد",IF(G10&gt;=60,"متوسط",IF(G10&gt;=50,"مقبول","راسب")))))</f>
        <v>0</v>
      </c>
      <c r="X10" s="5">
        <f>IF(H10&gt;=90,"امتياز",IF(H10&gt;=80,"جـيد جدا",IF(H10&gt;=70,"جـيد",IF(H10&gt;=60,"متوسط",IF(H10&gt;=50,"مقبول","راسب")))))</f>
        <v>0</v>
      </c>
      <c r="Y10" s="5">
        <f>IF(I10&gt;=90,"امتياز",IF(I10&gt;=80,"جـيد جدا",IF(I10&gt;=70,"جـيد",IF(I10&gt;=60,"متوسط",IF(I10&gt;=50,"مقبول","راسب")))))</f>
        <v>0</v>
      </c>
      <c r="Z10" s="5">
        <f>IF(J10&gt;=90,"امتياز",IF(J10&gt;=80,"جـيد جدا",IF(J10&gt;=70,"جـيد",IF(J10&gt;=60,"متوسط",IF(J10&gt;=50,"مقبول","راسب")))))</f>
        <v>0</v>
      </c>
      <c r="AA10" s="5">
        <f>IF(K10&gt;=90,"امتياز",IF(K10&gt;=80,"جـيد جدا",IF(K10&gt;=70,"جـيد",IF(K10&gt;=60,"متوسط",IF(K10&gt;=50,"مقبول","راسب")))))</f>
        <v>0</v>
      </c>
      <c r="AB10" s="5">
        <f>IF(L10&gt;=90,"امتياز",IF(L10&gt;=80,"جـيد جدا",IF(L10&gt;=70,"جـيد",IF(L10&gt;=60,"متوسط",IF(L10&gt;=50,"مقبول","راسب")))))</f>
        <v>0</v>
      </c>
      <c r="AC10" s="5">
        <f>IF(M10&gt;=90,"امتياز",IF(M10&gt;=80,"جـيد جدا",IF(M10&gt;=70,"جـيد",IF(M10&gt;=60,"متوسط",IF(M10&gt;=50,"مقبول","راسب")))))</f>
        <v>0</v>
      </c>
      <c r="AD10" s="5">
        <f>IF(N10&gt;=90,"امتياز",IF(N10&gt;=80,"جـيد جدا",IF(N10&gt;=70,"جـيد",IF(N10&gt;=60,"متوسط",IF(N10&gt;=50,"مقبول","راسب")))))</f>
        <v>0</v>
      </c>
      <c r="AE10" s="5">
        <f>MasterSheet!AA16</f>
        <v>0</v>
      </c>
      <c r="AF10" s="5">
        <f>MasterSheet!AB16</f>
        <v>0</v>
      </c>
      <c r="AG10" s="5">
        <f>MasterSheet!AC16</f>
        <v>0</v>
      </c>
      <c r="AL10" s="5">
        <f>IF(D10 &gt;=50,"P","F")</f>
        <v>0</v>
      </c>
      <c r="AM10" s="5">
        <f>IF(E10 &gt;=50,"P","F")</f>
        <v>0</v>
      </c>
      <c r="AN10" s="5">
        <f>IF(F10 &gt;=50,"P","F")</f>
        <v>0</v>
      </c>
      <c r="AO10" s="5">
        <f>IF(G10 &gt;=50,"P","F")</f>
        <v>0</v>
      </c>
      <c r="AP10" s="5">
        <f>IF(H10 &gt;=50,"P","F")</f>
        <v>0</v>
      </c>
      <c r="AQ10" s="5">
        <f>IF(I10 &gt;=50,"P","F")</f>
        <v>0</v>
      </c>
      <c r="AR10" s="5">
        <f>IF(J10 &gt;=50,"P","F")</f>
        <v>0</v>
      </c>
      <c r="AS10" s="5">
        <f>IF(K10 &gt;=50,"P","F")</f>
        <v>0</v>
      </c>
      <c r="AT10" s="5">
        <f>IF(L10 &gt;=50,"P","F")</f>
        <v>0</v>
      </c>
      <c r="AU10" s="5">
        <f>IF(M10 &gt;=50,"P","F")</f>
        <v>0</v>
      </c>
      <c r="AV10" s="5">
        <f>IF(N10 &gt;=50,"P","F")</f>
        <v>0</v>
      </c>
      <c r="AW10" s="5">
        <f>IF(AND(N10&gt;=50,N10&gt;=50,F10&gt;=50,G10&gt;=50,H10&gt;=50,I10&gt;=50,J10&gt;=50,K10&gt;=50,L10&gt;=50,M10&gt;=50),"P","F")</f>
        <v>0</v>
      </c>
    </row>
    <row r="11" spans="1:49">
      <c r="A11" s="5">
        <f>MasterSheet!B19</f>
        <v>0</v>
      </c>
      <c r="B11" s="5">
        <f>MasterSheet!C19</f>
        <v>0</v>
      </c>
      <c r="C11" s="5">
        <f>MasterSheet!D19</f>
        <v>0</v>
      </c>
      <c r="D11" s="5">
        <f>MasterSheet!E19</f>
        <v>0</v>
      </c>
      <c r="E11" s="5">
        <f>MasterSheet!G19</f>
        <v>0</v>
      </c>
      <c r="F11" s="5">
        <f>MasterSheet!I19</f>
        <v>0</v>
      </c>
      <c r="G11" s="5">
        <f>MasterSheet!K19</f>
        <v>0</v>
      </c>
      <c r="H11" s="5">
        <f>MasterSheet!M19</f>
        <v>0</v>
      </c>
      <c r="I11" s="5">
        <f>MasterSheet!O19</f>
        <v>0</v>
      </c>
      <c r="J11" s="5">
        <f>MasterSheet!Q19</f>
        <v>0</v>
      </c>
      <c r="K11" s="5">
        <f>MasterSheet!S19</f>
        <v>0</v>
      </c>
      <c r="L11" s="5">
        <f>MasterSheet!U19</f>
        <v>0</v>
      </c>
      <c r="M11" s="5">
        <f>MasterSheet!W19</f>
        <v>0</v>
      </c>
      <c r="N11" s="5">
        <f>MasterSheet!Y19</f>
        <v>0</v>
      </c>
      <c r="O11" s="5">
        <f>MasterSheet!AA19</f>
        <v>0</v>
      </c>
      <c r="P11" s="5">
        <f>MasterSheet!AB19</f>
        <v>0</v>
      </c>
      <c r="Q11" s="5">
        <f>MasterSheet!AC19</f>
        <v>0</v>
      </c>
      <c r="R11" s="5">
        <f>A11</f>
        <v>0</v>
      </c>
      <c r="S11" s="5">
        <f>B11</f>
        <v>0</v>
      </c>
      <c r="T11" s="5">
        <f>IF(D11&gt;=90,"امتياز",IF(D11&gt;=80,"جـيد جدا",IF(D11&gt;=70,"جـيد",IF(D11&gt;=60,"متوسط",IF(D11&gt;=50,"مقبول","راسب")))))</f>
        <v>0</v>
      </c>
      <c r="U11" s="5">
        <f>IF(E11&gt;=90,"امتياز",IF(E11&gt;=80,"جـيد جدا",IF(E11&gt;=70,"جـيد",IF(E11&gt;=60,"متوسط",IF(E11&gt;=50,"مقبول","راسب")))))</f>
        <v>0</v>
      </c>
      <c r="V11" s="5">
        <f>IF(F11&gt;=90,"امتياز",IF(F11&gt;=80,"جـيد جدا",IF(F11&gt;=70,"جـيد",IF(F11&gt;=60,"متوسط",IF(F11&gt;=50,"مقبول","راسب")))))</f>
        <v>0</v>
      </c>
      <c r="W11" s="5">
        <f>IF(G11&gt;=90,"امتياز",IF(G11&gt;=80,"جـيد جدا",IF(G11&gt;=70,"جـيد",IF(G11&gt;=60,"متوسط",IF(G11&gt;=50,"مقبول","راسب")))))</f>
        <v>0</v>
      </c>
      <c r="X11" s="5">
        <f>IF(H11&gt;=90,"امتياز",IF(H11&gt;=80,"جـيد جدا",IF(H11&gt;=70,"جـيد",IF(H11&gt;=60,"متوسط",IF(H11&gt;=50,"مقبول","راسب")))))</f>
        <v>0</v>
      </c>
      <c r="Y11" s="5">
        <f>IF(I11&gt;=90,"امتياز",IF(I11&gt;=80,"جـيد جدا",IF(I11&gt;=70,"جـيد",IF(I11&gt;=60,"متوسط",IF(I11&gt;=50,"مقبول","راسب")))))</f>
        <v>0</v>
      </c>
      <c r="Z11" s="5">
        <f>IF(J11&gt;=90,"امتياز",IF(J11&gt;=80,"جـيد جدا",IF(J11&gt;=70,"جـيد",IF(J11&gt;=60,"متوسط",IF(J11&gt;=50,"مقبول","راسب")))))</f>
        <v>0</v>
      </c>
      <c r="AA11" s="5">
        <f>IF(K11&gt;=90,"امتياز",IF(K11&gt;=80,"جـيد جدا",IF(K11&gt;=70,"جـيد",IF(K11&gt;=60,"متوسط",IF(K11&gt;=50,"مقبول","راسب")))))</f>
        <v>0</v>
      </c>
      <c r="AB11" s="5">
        <f>IF(L11&gt;=90,"امتياز",IF(L11&gt;=80,"جـيد جدا",IF(L11&gt;=70,"جـيد",IF(L11&gt;=60,"متوسط",IF(L11&gt;=50,"مقبول","راسب")))))</f>
        <v>0</v>
      </c>
      <c r="AC11" s="5">
        <f>IF(M11&gt;=90,"امتياز",IF(M11&gt;=80,"جـيد جدا",IF(M11&gt;=70,"جـيد",IF(M11&gt;=60,"متوسط",IF(M11&gt;=50,"مقبول","راسب")))))</f>
        <v>0</v>
      </c>
      <c r="AD11" s="5">
        <f>IF(N11&gt;=90,"امتياز",IF(N11&gt;=80,"جـيد جدا",IF(N11&gt;=70,"جـيد",IF(N11&gt;=60,"متوسط",IF(N11&gt;=50,"مقبول","راسب")))))</f>
        <v>0</v>
      </c>
      <c r="AE11" s="5">
        <f>MasterSheet!AA19</f>
        <v>0</v>
      </c>
      <c r="AF11" s="5">
        <f>MasterSheet!AB19</f>
        <v>0</v>
      </c>
      <c r="AG11" s="5">
        <f>MasterSheet!AC19</f>
        <v>0</v>
      </c>
      <c r="AL11" s="5">
        <f>IF(D11 &gt;=50,"P","F")</f>
        <v>0</v>
      </c>
      <c r="AM11" s="5">
        <f>IF(E11 &gt;=50,"P","F")</f>
        <v>0</v>
      </c>
      <c r="AN11" s="5">
        <f>IF(F11 &gt;=50,"P","F")</f>
        <v>0</v>
      </c>
      <c r="AO11" s="5">
        <f>IF(G11 &gt;=50,"P","F")</f>
        <v>0</v>
      </c>
      <c r="AP11" s="5">
        <f>IF(H11 &gt;=50,"P","F")</f>
        <v>0</v>
      </c>
      <c r="AQ11" s="5">
        <f>IF(I11 &gt;=50,"P","F")</f>
        <v>0</v>
      </c>
      <c r="AR11" s="5">
        <f>IF(J11 &gt;=50,"P","F")</f>
        <v>0</v>
      </c>
      <c r="AS11" s="5">
        <f>IF(K11 &gt;=50,"P","F")</f>
        <v>0</v>
      </c>
      <c r="AT11" s="5">
        <f>IF(L11 &gt;=50,"P","F")</f>
        <v>0</v>
      </c>
      <c r="AU11" s="5">
        <f>IF(M11 &gt;=50,"P","F")</f>
        <v>0</v>
      </c>
      <c r="AV11" s="5">
        <f>IF(N11 &gt;=50,"P","F")</f>
        <v>0</v>
      </c>
      <c r="AW11" s="5">
        <f>IF(AND(N11&gt;=50,N11&gt;=50,F11&gt;=50,G11&gt;=50,H11&gt;=50,I11&gt;=50,J11&gt;=50,K11&gt;=50,L11&gt;=50,M11&gt;=50),"P","F")</f>
        <v>0</v>
      </c>
    </row>
    <row r="12" spans="1:49">
      <c r="A12" s="5">
        <f>MasterSheet!B22</f>
        <v>0</v>
      </c>
      <c r="B12" s="5">
        <f>MasterSheet!C22</f>
        <v>0</v>
      </c>
      <c r="C12" s="5">
        <f>MasterSheet!D22</f>
        <v>0</v>
      </c>
      <c r="D12" s="5">
        <f>MasterSheet!E22</f>
        <v>0</v>
      </c>
      <c r="E12" s="5">
        <f>MasterSheet!G22</f>
        <v>0</v>
      </c>
      <c r="F12" s="5">
        <f>MasterSheet!I22</f>
        <v>0</v>
      </c>
      <c r="G12" s="5">
        <f>MasterSheet!K22</f>
        <v>0</v>
      </c>
      <c r="H12" s="5">
        <f>MasterSheet!M22</f>
        <v>0</v>
      </c>
      <c r="I12" s="5">
        <f>MasterSheet!O22</f>
        <v>0</v>
      </c>
      <c r="J12" s="5">
        <f>MasterSheet!Q22</f>
        <v>0</v>
      </c>
      <c r="K12" s="5">
        <f>MasterSheet!S22</f>
        <v>0</v>
      </c>
      <c r="L12" s="5">
        <f>MasterSheet!U22</f>
        <v>0</v>
      </c>
      <c r="M12" s="5">
        <f>MasterSheet!W22</f>
        <v>0</v>
      </c>
      <c r="N12" s="5">
        <f>MasterSheet!Y22</f>
        <v>0</v>
      </c>
      <c r="O12" s="5">
        <f>MasterSheet!AA22</f>
        <v>0</v>
      </c>
      <c r="P12" s="5">
        <f>MasterSheet!AB22</f>
        <v>0</v>
      </c>
      <c r="Q12" s="5">
        <f>MasterSheet!AC22</f>
        <v>0</v>
      </c>
      <c r="R12" s="5">
        <f>A12</f>
        <v>0</v>
      </c>
      <c r="S12" s="5">
        <f>B12</f>
        <v>0</v>
      </c>
      <c r="T12" s="5">
        <f>IF(D12&gt;=90,"امتياز",IF(D12&gt;=80,"جـيد جدا",IF(D12&gt;=70,"جـيد",IF(D12&gt;=60,"متوسط",IF(D12&gt;=50,"مقبول","راسب")))))</f>
        <v>0</v>
      </c>
      <c r="U12" s="5">
        <f>IF(E12&gt;=90,"امتياز",IF(E12&gt;=80,"جـيد جدا",IF(E12&gt;=70,"جـيد",IF(E12&gt;=60,"متوسط",IF(E12&gt;=50,"مقبول","راسب")))))</f>
        <v>0</v>
      </c>
      <c r="V12" s="5">
        <f>IF(F12&gt;=90,"امتياز",IF(F12&gt;=80,"جـيد جدا",IF(F12&gt;=70,"جـيد",IF(F12&gt;=60,"متوسط",IF(F12&gt;=50,"مقبول","راسب")))))</f>
        <v>0</v>
      </c>
      <c r="W12" s="5">
        <f>IF(G12&gt;=90,"امتياز",IF(G12&gt;=80,"جـيد جدا",IF(G12&gt;=70,"جـيد",IF(G12&gt;=60,"متوسط",IF(G12&gt;=50,"مقبول","راسب")))))</f>
        <v>0</v>
      </c>
      <c r="X12" s="5">
        <f>IF(H12&gt;=90,"امتياز",IF(H12&gt;=80,"جـيد جدا",IF(H12&gt;=70,"جـيد",IF(H12&gt;=60,"متوسط",IF(H12&gt;=50,"مقبول","راسب")))))</f>
        <v>0</v>
      </c>
      <c r="Y12" s="5">
        <f>IF(I12&gt;=90,"امتياز",IF(I12&gt;=80,"جـيد جدا",IF(I12&gt;=70,"جـيد",IF(I12&gt;=60,"متوسط",IF(I12&gt;=50,"مقبول","راسب")))))</f>
        <v>0</v>
      </c>
      <c r="Z12" s="5">
        <f>IF(J12&gt;=90,"امتياز",IF(J12&gt;=80,"جـيد جدا",IF(J12&gt;=70,"جـيد",IF(J12&gt;=60,"متوسط",IF(J12&gt;=50,"مقبول","راسب")))))</f>
        <v>0</v>
      </c>
      <c r="AA12" s="5">
        <f>IF(K12&gt;=90,"امتياز",IF(K12&gt;=80,"جـيد جدا",IF(K12&gt;=70,"جـيد",IF(K12&gt;=60,"متوسط",IF(K12&gt;=50,"مقبول","راسب")))))</f>
        <v>0</v>
      </c>
      <c r="AB12" s="5">
        <f>IF(L12&gt;=90,"امتياز",IF(L12&gt;=80,"جـيد جدا",IF(L12&gt;=70,"جـيد",IF(L12&gt;=60,"متوسط",IF(L12&gt;=50,"مقبول","راسب")))))</f>
        <v>0</v>
      </c>
      <c r="AC12" s="5">
        <f>IF(M12&gt;=90,"امتياز",IF(M12&gt;=80,"جـيد جدا",IF(M12&gt;=70,"جـيد",IF(M12&gt;=60,"متوسط",IF(M12&gt;=50,"مقبول","راسب")))))</f>
        <v>0</v>
      </c>
      <c r="AD12" s="5">
        <f>IF(N12&gt;=90,"امتياز",IF(N12&gt;=80,"جـيد جدا",IF(N12&gt;=70,"جـيد",IF(N12&gt;=60,"متوسط",IF(N12&gt;=50,"مقبول","راسب")))))</f>
        <v>0</v>
      </c>
      <c r="AE12" s="5">
        <f>MasterSheet!AA22</f>
        <v>0</v>
      </c>
      <c r="AF12" s="5">
        <f>MasterSheet!AB22</f>
        <v>0</v>
      </c>
      <c r="AG12" s="5">
        <f>MasterSheet!AC22</f>
        <v>0</v>
      </c>
      <c r="AL12" s="5">
        <f>IF(D12 &gt;=50,"P","F")</f>
        <v>0</v>
      </c>
      <c r="AM12" s="5">
        <f>IF(E12 &gt;=50,"P","F")</f>
        <v>0</v>
      </c>
      <c r="AN12" s="5">
        <f>IF(F12 &gt;=50,"P","F")</f>
        <v>0</v>
      </c>
      <c r="AO12" s="5">
        <f>IF(G12 &gt;=50,"P","F")</f>
        <v>0</v>
      </c>
      <c r="AP12" s="5">
        <f>IF(H12 &gt;=50,"P","F")</f>
        <v>0</v>
      </c>
      <c r="AQ12" s="5">
        <f>IF(I12 &gt;=50,"P","F")</f>
        <v>0</v>
      </c>
      <c r="AR12" s="5">
        <f>IF(J12 &gt;=50,"P","F")</f>
        <v>0</v>
      </c>
      <c r="AS12" s="5">
        <f>IF(K12 &gt;=50,"P","F")</f>
        <v>0</v>
      </c>
      <c r="AT12" s="5">
        <f>IF(L12 &gt;=50,"P","F")</f>
        <v>0</v>
      </c>
      <c r="AU12" s="5">
        <f>IF(M12 &gt;=50,"P","F")</f>
        <v>0</v>
      </c>
      <c r="AV12" s="5">
        <f>IF(N12 &gt;=50,"P","F")</f>
        <v>0</v>
      </c>
      <c r="AW12" s="5">
        <f>IF(AND(N12&gt;=50,N12&gt;=50,F12&gt;=50,G12&gt;=50,H12&gt;=50,I12&gt;=50,J12&gt;=50,K12&gt;=50,L12&gt;=50,M12&gt;=50),"P","F")</f>
        <v>0</v>
      </c>
    </row>
    <row r="13" spans="1:49">
      <c r="A13" s="5">
        <f>MasterSheet!B25</f>
        <v>0</v>
      </c>
      <c r="B13" s="5">
        <f>MasterSheet!C25</f>
        <v>0</v>
      </c>
      <c r="C13" s="5">
        <f>MasterSheet!D25</f>
        <v>0</v>
      </c>
      <c r="D13" s="5">
        <f>MasterSheet!E25</f>
        <v>0</v>
      </c>
      <c r="E13" s="5">
        <f>MasterSheet!G25</f>
        <v>0</v>
      </c>
      <c r="F13" s="5">
        <f>MasterSheet!I25</f>
        <v>0</v>
      </c>
      <c r="G13" s="5">
        <f>MasterSheet!K25</f>
        <v>0</v>
      </c>
      <c r="H13" s="5">
        <f>MasterSheet!M25</f>
        <v>0</v>
      </c>
      <c r="I13" s="5">
        <f>MasterSheet!O25</f>
        <v>0</v>
      </c>
      <c r="J13" s="5">
        <f>MasterSheet!Q25</f>
        <v>0</v>
      </c>
      <c r="K13" s="5">
        <f>MasterSheet!S25</f>
        <v>0</v>
      </c>
      <c r="L13" s="5">
        <f>MasterSheet!U25</f>
        <v>0</v>
      </c>
      <c r="M13" s="5">
        <f>MasterSheet!W25</f>
        <v>0</v>
      </c>
      <c r="N13" s="5">
        <f>MasterSheet!Y25</f>
        <v>0</v>
      </c>
      <c r="O13" s="5">
        <f>MasterSheet!AA25</f>
        <v>0</v>
      </c>
      <c r="P13" s="5">
        <f>MasterSheet!AB25</f>
        <v>0</v>
      </c>
      <c r="Q13" s="5">
        <f>MasterSheet!AC25</f>
        <v>0</v>
      </c>
      <c r="R13" s="5">
        <f>A13</f>
        <v>0</v>
      </c>
      <c r="S13" s="5">
        <f>B13</f>
        <v>0</v>
      </c>
      <c r="T13" s="5">
        <f>IF(D13&gt;=90,"امتياز",IF(D13&gt;=80,"جـيد جدا",IF(D13&gt;=70,"جـيد",IF(D13&gt;=60,"متوسط",IF(D13&gt;=50,"مقبول","راسب")))))</f>
        <v>0</v>
      </c>
      <c r="U13" s="5">
        <f>IF(E13&gt;=90,"امتياز",IF(E13&gt;=80,"جـيد جدا",IF(E13&gt;=70,"جـيد",IF(E13&gt;=60,"متوسط",IF(E13&gt;=50,"مقبول","راسب")))))</f>
        <v>0</v>
      </c>
      <c r="V13" s="5">
        <f>IF(F13&gt;=90,"امتياز",IF(F13&gt;=80,"جـيد جدا",IF(F13&gt;=70,"جـيد",IF(F13&gt;=60,"متوسط",IF(F13&gt;=50,"مقبول","راسب")))))</f>
        <v>0</v>
      </c>
      <c r="W13" s="5">
        <f>IF(G13&gt;=90,"امتياز",IF(G13&gt;=80,"جـيد جدا",IF(G13&gt;=70,"جـيد",IF(G13&gt;=60,"متوسط",IF(G13&gt;=50,"مقبول","راسب")))))</f>
        <v>0</v>
      </c>
      <c r="X13" s="5">
        <f>IF(H13&gt;=90,"امتياز",IF(H13&gt;=80,"جـيد جدا",IF(H13&gt;=70,"جـيد",IF(H13&gt;=60,"متوسط",IF(H13&gt;=50,"مقبول","راسب")))))</f>
        <v>0</v>
      </c>
      <c r="Y13" s="5">
        <f>IF(I13&gt;=90,"امتياز",IF(I13&gt;=80,"جـيد جدا",IF(I13&gt;=70,"جـيد",IF(I13&gt;=60,"متوسط",IF(I13&gt;=50,"مقبول","راسب")))))</f>
        <v>0</v>
      </c>
      <c r="Z13" s="5">
        <f>IF(J13&gt;=90,"امتياز",IF(J13&gt;=80,"جـيد جدا",IF(J13&gt;=70,"جـيد",IF(J13&gt;=60,"متوسط",IF(J13&gt;=50,"مقبول","راسب")))))</f>
        <v>0</v>
      </c>
      <c r="AA13" s="5">
        <f>IF(K13&gt;=90,"امتياز",IF(K13&gt;=80,"جـيد جدا",IF(K13&gt;=70,"جـيد",IF(K13&gt;=60,"متوسط",IF(K13&gt;=50,"مقبول","راسب")))))</f>
        <v>0</v>
      </c>
      <c r="AB13" s="5">
        <f>IF(L13&gt;=90,"امتياز",IF(L13&gt;=80,"جـيد جدا",IF(L13&gt;=70,"جـيد",IF(L13&gt;=60,"متوسط",IF(L13&gt;=50,"مقبول","راسب")))))</f>
        <v>0</v>
      </c>
      <c r="AC13" s="5">
        <f>IF(M13&gt;=90,"امتياز",IF(M13&gt;=80,"جـيد جدا",IF(M13&gt;=70,"جـيد",IF(M13&gt;=60,"متوسط",IF(M13&gt;=50,"مقبول","راسب")))))</f>
        <v>0</v>
      </c>
      <c r="AD13" s="5">
        <f>IF(N13&gt;=90,"امتياز",IF(N13&gt;=80,"جـيد جدا",IF(N13&gt;=70,"جـيد",IF(N13&gt;=60,"متوسط",IF(N13&gt;=50,"مقبول","راسب")))))</f>
        <v>0</v>
      </c>
      <c r="AE13" s="5">
        <f>MasterSheet!AA25</f>
        <v>0</v>
      </c>
      <c r="AF13" s="5">
        <f>MasterSheet!AB25</f>
        <v>0</v>
      </c>
      <c r="AG13" s="5">
        <f>MasterSheet!AC25</f>
        <v>0</v>
      </c>
      <c r="AL13" s="5">
        <f>IF(D13 &gt;=50,"P","F")</f>
        <v>0</v>
      </c>
      <c r="AM13" s="5">
        <f>IF(E13 &gt;=50,"P","F")</f>
        <v>0</v>
      </c>
      <c r="AN13" s="5">
        <f>IF(F13 &gt;=50,"P","F")</f>
        <v>0</v>
      </c>
      <c r="AO13" s="5">
        <f>IF(G13 &gt;=50,"P","F")</f>
        <v>0</v>
      </c>
      <c r="AP13" s="5">
        <f>IF(H13 &gt;=50,"P","F")</f>
        <v>0</v>
      </c>
      <c r="AQ13" s="5">
        <f>IF(I13 &gt;=50,"P","F")</f>
        <v>0</v>
      </c>
      <c r="AR13" s="5">
        <f>IF(J13 &gt;=50,"P","F")</f>
        <v>0</v>
      </c>
      <c r="AS13" s="5">
        <f>IF(K13 &gt;=50,"P","F")</f>
        <v>0</v>
      </c>
      <c r="AT13" s="5">
        <f>IF(L13 &gt;=50,"P","F")</f>
        <v>0</v>
      </c>
      <c r="AU13" s="5">
        <f>IF(M13 &gt;=50,"P","F")</f>
        <v>0</v>
      </c>
      <c r="AV13" s="5">
        <f>IF(N13 &gt;=50,"P","F")</f>
        <v>0</v>
      </c>
      <c r="AW13" s="5">
        <f>IF(AND(N13&gt;=50,N13&gt;=50,F13&gt;=50,G13&gt;=50,H13&gt;=50,I13&gt;=50,J13&gt;=50,K13&gt;=50,L13&gt;=50,M13&gt;=50),"P","F")</f>
        <v>0</v>
      </c>
    </row>
    <row r="14" spans="1:49">
      <c r="A14" s="5">
        <f>MasterSheet!B28</f>
        <v>0</v>
      </c>
      <c r="B14" s="5">
        <f>MasterSheet!C28</f>
        <v>0</v>
      </c>
      <c r="C14" s="5">
        <f>MasterSheet!D28</f>
        <v>0</v>
      </c>
      <c r="D14" s="5">
        <f>MasterSheet!E28</f>
        <v>0</v>
      </c>
      <c r="E14" s="5">
        <f>MasterSheet!G28</f>
        <v>0</v>
      </c>
      <c r="F14" s="5">
        <f>MasterSheet!I28</f>
        <v>0</v>
      </c>
      <c r="G14" s="5">
        <f>MasterSheet!K28</f>
        <v>0</v>
      </c>
      <c r="H14" s="5">
        <f>MasterSheet!M28</f>
        <v>0</v>
      </c>
      <c r="I14" s="5">
        <f>MasterSheet!O28</f>
        <v>0</v>
      </c>
      <c r="J14" s="5">
        <f>MasterSheet!Q28</f>
        <v>0</v>
      </c>
      <c r="K14" s="5">
        <f>MasterSheet!S28</f>
        <v>0</v>
      </c>
      <c r="L14" s="5">
        <f>MasterSheet!U28</f>
        <v>0</v>
      </c>
      <c r="M14" s="5">
        <f>MasterSheet!W28</f>
        <v>0</v>
      </c>
      <c r="N14" s="5">
        <f>MasterSheet!Y28</f>
        <v>0</v>
      </c>
      <c r="O14" s="5">
        <f>MasterSheet!AA28</f>
        <v>0</v>
      </c>
      <c r="P14" s="5">
        <f>MasterSheet!AB28</f>
        <v>0</v>
      </c>
      <c r="Q14" s="5">
        <f>MasterSheet!AC28</f>
        <v>0</v>
      </c>
      <c r="R14" s="5">
        <f>A14</f>
        <v>0</v>
      </c>
      <c r="S14" s="5">
        <f>B14</f>
        <v>0</v>
      </c>
      <c r="T14" s="5">
        <f>IF(D14&gt;=90,"امتياز",IF(D14&gt;=80,"جـيد جدا",IF(D14&gt;=70,"جـيد",IF(D14&gt;=60,"متوسط",IF(D14&gt;=50,"مقبول","راسب")))))</f>
        <v>0</v>
      </c>
      <c r="U14" s="5">
        <f>IF(E14&gt;=90,"امتياز",IF(E14&gt;=80,"جـيد جدا",IF(E14&gt;=70,"جـيد",IF(E14&gt;=60,"متوسط",IF(E14&gt;=50,"مقبول","راسب")))))</f>
        <v>0</v>
      </c>
      <c r="V14" s="5">
        <f>IF(F14&gt;=90,"امتياز",IF(F14&gt;=80,"جـيد جدا",IF(F14&gt;=70,"جـيد",IF(F14&gt;=60,"متوسط",IF(F14&gt;=50,"مقبول","راسب")))))</f>
        <v>0</v>
      </c>
      <c r="W14" s="5">
        <f>IF(G14&gt;=90,"امتياز",IF(G14&gt;=80,"جـيد جدا",IF(G14&gt;=70,"جـيد",IF(G14&gt;=60,"متوسط",IF(G14&gt;=50,"مقبول","راسب")))))</f>
        <v>0</v>
      </c>
      <c r="X14" s="5">
        <f>IF(H14&gt;=90,"امتياز",IF(H14&gt;=80,"جـيد جدا",IF(H14&gt;=70,"جـيد",IF(H14&gt;=60,"متوسط",IF(H14&gt;=50,"مقبول","راسب")))))</f>
        <v>0</v>
      </c>
      <c r="Y14" s="5">
        <f>IF(I14&gt;=90,"امتياز",IF(I14&gt;=80,"جـيد جدا",IF(I14&gt;=70,"جـيد",IF(I14&gt;=60,"متوسط",IF(I14&gt;=50,"مقبول","راسب")))))</f>
        <v>0</v>
      </c>
      <c r="Z14" s="5">
        <f>IF(J14&gt;=90,"امتياز",IF(J14&gt;=80,"جـيد جدا",IF(J14&gt;=70,"جـيد",IF(J14&gt;=60,"متوسط",IF(J14&gt;=50,"مقبول","راسب")))))</f>
        <v>0</v>
      </c>
      <c r="AA14" s="5">
        <f>IF(K14&gt;=90,"امتياز",IF(K14&gt;=80,"جـيد جدا",IF(K14&gt;=70,"جـيد",IF(K14&gt;=60,"متوسط",IF(K14&gt;=50,"مقبول","راسب")))))</f>
        <v>0</v>
      </c>
      <c r="AB14" s="5">
        <f>IF(L14&gt;=90,"امتياز",IF(L14&gt;=80,"جـيد جدا",IF(L14&gt;=70,"جـيد",IF(L14&gt;=60,"متوسط",IF(L14&gt;=50,"مقبول","راسب")))))</f>
        <v>0</v>
      </c>
      <c r="AC14" s="5">
        <f>IF(M14&gt;=90,"امتياز",IF(M14&gt;=80,"جـيد جدا",IF(M14&gt;=70,"جـيد",IF(M14&gt;=60,"متوسط",IF(M14&gt;=50,"مقبول","راسب")))))</f>
        <v>0</v>
      </c>
      <c r="AD14" s="5">
        <f>IF(N14&gt;=90,"امتياز",IF(N14&gt;=80,"جـيد جدا",IF(N14&gt;=70,"جـيد",IF(N14&gt;=60,"متوسط",IF(N14&gt;=50,"مقبول","راسب")))))</f>
        <v>0</v>
      </c>
      <c r="AE14" s="5">
        <f>MasterSheet!AA28</f>
        <v>0</v>
      </c>
      <c r="AF14" s="5">
        <f>MasterSheet!AB28</f>
        <v>0</v>
      </c>
      <c r="AG14" s="5">
        <f>MasterSheet!AC28</f>
        <v>0</v>
      </c>
      <c r="AL14" s="5">
        <f>IF(D14 &gt;=50,"P","F")</f>
        <v>0</v>
      </c>
      <c r="AM14" s="5">
        <f>IF(E14 &gt;=50,"P","F")</f>
        <v>0</v>
      </c>
      <c r="AN14" s="5">
        <f>IF(F14 &gt;=50,"P","F")</f>
        <v>0</v>
      </c>
      <c r="AO14" s="5">
        <f>IF(G14 &gt;=50,"P","F")</f>
        <v>0</v>
      </c>
      <c r="AP14" s="5">
        <f>IF(H14 &gt;=50,"P","F")</f>
        <v>0</v>
      </c>
      <c r="AQ14" s="5">
        <f>IF(I14 &gt;=50,"P","F")</f>
        <v>0</v>
      </c>
      <c r="AR14" s="5">
        <f>IF(J14 &gt;=50,"P","F")</f>
        <v>0</v>
      </c>
      <c r="AS14" s="5">
        <f>IF(K14 &gt;=50,"P","F")</f>
        <v>0</v>
      </c>
      <c r="AT14" s="5">
        <f>IF(L14 &gt;=50,"P","F")</f>
        <v>0</v>
      </c>
      <c r="AU14" s="5">
        <f>IF(M14 &gt;=50,"P","F")</f>
        <v>0</v>
      </c>
      <c r="AV14" s="5">
        <f>IF(N14 &gt;=50,"P","F")</f>
        <v>0</v>
      </c>
      <c r="AW14" s="5">
        <f>IF(AND(N14&gt;=50,N14&gt;=50,F14&gt;=50,G14&gt;=50,H14&gt;=50,I14&gt;=50,J14&gt;=50,K14&gt;=50,L14&gt;=50,M14&gt;=50),"P","F")</f>
        <v>0</v>
      </c>
    </row>
    <row r="15" spans="1:49">
      <c r="A15" s="5">
        <f>MasterSheet!B31</f>
        <v>0</v>
      </c>
      <c r="B15" s="5">
        <f>MasterSheet!C31</f>
        <v>0</v>
      </c>
      <c r="C15" s="5">
        <f>MasterSheet!D31</f>
        <v>0</v>
      </c>
      <c r="D15" s="5">
        <f>MasterSheet!E31</f>
        <v>0</v>
      </c>
      <c r="E15" s="5">
        <f>MasterSheet!G31</f>
        <v>0</v>
      </c>
      <c r="F15" s="5">
        <f>MasterSheet!I31</f>
        <v>0</v>
      </c>
      <c r="G15" s="5">
        <f>MasterSheet!K31</f>
        <v>0</v>
      </c>
      <c r="H15" s="5">
        <f>MasterSheet!M31</f>
        <v>0</v>
      </c>
      <c r="I15" s="5">
        <f>MasterSheet!O31</f>
        <v>0</v>
      </c>
      <c r="J15" s="5">
        <f>MasterSheet!Q31</f>
        <v>0</v>
      </c>
      <c r="K15" s="5">
        <f>MasterSheet!S31</f>
        <v>0</v>
      </c>
      <c r="L15" s="5">
        <f>MasterSheet!U31</f>
        <v>0</v>
      </c>
      <c r="M15" s="5">
        <f>MasterSheet!W31</f>
        <v>0</v>
      </c>
      <c r="N15" s="5">
        <f>MasterSheet!Y31</f>
        <v>0</v>
      </c>
      <c r="O15" s="5">
        <f>MasterSheet!AA31</f>
        <v>0</v>
      </c>
      <c r="P15" s="5">
        <f>MasterSheet!AB31</f>
        <v>0</v>
      </c>
      <c r="Q15" s="5">
        <f>MasterSheet!AC31</f>
        <v>0</v>
      </c>
      <c r="R15" s="5">
        <f>A15</f>
        <v>0</v>
      </c>
      <c r="S15" s="5">
        <f>B15</f>
        <v>0</v>
      </c>
      <c r="T15" s="5">
        <f>IF(D15&gt;=90,"امتياز",IF(D15&gt;=80,"جـيد جدا",IF(D15&gt;=70,"جـيد",IF(D15&gt;=60,"متوسط",IF(D15&gt;=50,"مقبول","راسب")))))</f>
        <v>0</v>
      </c>
      <c r="U15" s="5">
        <f>IF(E15&gt;=90,"امتياز",IF(E15&gt;=80,"جـيد جدا",IF(E15&gt;=70,"جـيد",IF(E15&gt;=60,"متوسط",IF(E15&gt;=50,"مقبول","راسب")))))</f>
        <v>0</v>
      </c>
      <c r="V15" s="5">
        <f>IF(F15&gt;=90,"امتياز",IF(F15&gt;=80,"جـيد جدا",IF(F15&gt;=70,"جـيد",IF(F15&gt;=60,"متوسط",IF(F15&gt;=50,"مقبول","راسب")))))</f>
        <v>0</v>
      </c>
      <c r="W15" s="5">
        <f>IF(G15&gt;=90,"امتياز",IF(G15&gt;=80,"جـيد جدا",IF(G15&gt;=70,"جـيد",IF(G15&gt;=60,"متوسط",IF(G15&gt;=50,"مقبول","راسب")))))</f>
        <v>0</v>
      </c>
      <c r="X15" s="5">
        <f>IF(H15&gt;=90,"امتياز",IF(H15&gt;=80,"جـيد جدا",IF(H15&gt;=70,"جـيد",IF(H15&gt;=60,"متوسط",IF(H15&gt;=50,"مقبول","راسب")))))</f>
        <v>0</v>
      </c>
      <c r="Y15" s="5">
        <f>IF(I15&gt;=90,"امتياز",IF(I15&gt;=80,"جـيد جدا",IF(I15&gt;=70,"جـيد",IF(I15&gt;=60,"متوسط",IF(I15&gt;=50,"مقبول","راسب")))))</f>
        <v>0</v>
      </c>
      <c r="Z15" s="5">
        <f>IF(J15&gt;=90,"امتياز",IF(J15&gt;=80,"جـيد جدا",IF(J15&gt;=70,"جـيد",IF(J15&gt;=60,"متوسط",IF(J15&gt;=50,"مقبول","راسب")))))</f>
        <v>0</v>
      </c>
      <c r="AA15" s="5">
        <f>IF(K15&gt;=90,"امتياز",IF(K15&gt;=80,"جـيد جدا",IF(K15&gt;=70,"جـيد",IF(K15&gt;=60,"متوسط",IF(K15&gt;=50,"مقبول","راسب")))))</f>
        <v>0</v>
      </c>
      <c r="AB15" s="5">
        <f>IF(L15&gt;=90,"امتياز",IF(L15&gt;=80,"جـيد جدا",IF(L15&gt;=70,"جـيد",IF(L15&gt;=60,"متوسط",IF(L15&gt;=50,"مقبول","راسب")))))</f>
        <v>0</v>
      </c>
      <c r="AC15" s="5">
        <f>IF(M15&gt;=90,"امتياز",IF(M15&gt;=80,"جـيد جدا",IF(M15&gt;=70,"جـيد",IF(M15&gt;=60,"متوسط",IF(M15&gt;=50,"مقبول","راسب")))))</f>
        <v>0</v>
      </c>
      <c r="AD15" s="5">
        <f>IF(N15&gt;=90,"امتياز",IF(N15&gt;=80,"جـيد جدا",IF(N15&gt;=70,"جـيد",IF(N15&gt;=60,"متوسط",IF(N15&gt;=50,"مقبول","راسب")))))</f>
        <v>0</v>
      </c>
      <c r="AE15" s="5">
        <f>MasterSheet!AA31</f>
        <v>0</v>
      </c>
      <c r="AF15" s="5">
        <f>MasterSheet!AB31</f>
        <v>0</v>
      </c>
      <c r="AG15" s="5">
        <f>MasterSheet!AC31</f>
        <v>0</v>
      </c>
      <c r="AL15" s="5">
        <f>IF(D15 &gt;=50,"P","F")</f>
        <v>0</v>
      </c>
      <c r="AM15" s="5">
        <f>IF(E15 &gt;=50,"P","F")</f>
        <v>0</v>
      </c>
      <c r="AN15" s="5">
        <f>IF(F15 &gt;=50,"P","F")</f>
        <v>0</v>
      </c>
      <c r="AO15" s="5">
        <f>IF(G15 &gt;=50,"P","F")</f>
        <v>0</v>
      </c>
      <c r="AP15" s="5">
        <f>IF(H15 &gt;=50,"P","F")</f>
        <v>0</v>
      </c>
      <c r="AQ15" s="5">
        <f>IF(I15 &gt;=50,"P","F")</f>
        <v>0</v>
      </c>
      <c r="AR15" s="5">
        <f>IF(J15 &gt;=50,"P","F")</f>
        <v>0</v>
      </c>
      <c r="AS15" s="5">
        <f>IF(K15 &gt;=50,"P","F")</f>
        <v>0</v>
      </c>
      <c r="AT15" s="5">
        <f>IF(L15 &gt;=50,"P","F")</f>
        <v>0</v>
      </c>
      <c r="AU15" s="5">
        <f>IF(M15 &gt;=50,"P","F")</f>
        <v>0</v>
      </c>
      <c r="AV15" s="5">
        <f>IF(N15 &gt;=50,"P","F")</f>
        <v>0</v>
      </c>
      <c r="AW15" s="5">
        <f>IF(AND(N15&gt;=50,N15&gt;=50,F15&gt;=50,G15&gt;=50,H15&gt;=50,I15&gt;=50,J15&gt;=50,K15&gt;=50,L15&gt;=50,M15&gt;=50),"P","F")</f>
        <v>0</v>
      </c>
    </row>
    <row r="16" spans="1:49">
      <c r="A16" s="5">
        <f>MasterSheet!B34</f>
        <v>0</v>
      </c>
      <c r="B16" s="5">
        <f>MasterSheet!C34</f>
        <v>0</v>
      </c>
      <c r="C16" s="5">
        <f>MasterSheet!D34</f>
        <v>0</v>
      </c>
      <c r="D16" s="5">
        <f>MasterSheet!E34</f>
        <v>0</v>
      </c>
      <c r="E16" s="5">
        <f>MasterSheet!G34</f>
        <v>0</v>
      </c>
      <c r="F16" s="5">
        <f>MasterSheet!I34</f>
        <v>0</v>
      </c>
      <c r="G16" s="5">
        <f>MasterSheet!K34</f>
        <v>0</v>
      </c>
      <c r="H16" s="5">
        <f>MasterSheet!M34</f>
        <v>0</v>
      </c>
      <c r="I16" s="5">
        <f>MasterSheet!O34</f>
        <v>0</v>
      </c>
      <c r="J16" s="5">
        <f>MasterSheet!Q34</f>
        <v>0</v>
      </c>
      <c r="K16" s="5">
        <f>MasterSheet!S34</f>
        <v>0</v>
      </c>
      <c r="L16" s="5">
        <f>MasterSheet!U34</f>
        <v>0</v>
      </c>
      <c r="M16" s="5">
        <f>MasterSheet!W34</f>
        <v>0</v>
      </c>
      <c r="N16" s="5">
        <f>MasterSheet!Y34</f>
        <v>0</v>
      </c>
      <c r="O16" s="5">
        <f>MasterSheet!AA34</f>
        <v>0</v>
      </c>
      <c r="P16" s="5">
        <f>MasterSheet!AB34</f>
        <v>0</v>
      </c>
      <c r="Q16" s="5">
        <f>MasterSheet!AC34</f>
        <v>0</v>
      </c>
      <c r="R16" s="5">
        <f>A16</f>
        <v>0</v>
      </c>
      <c r="S16" s="5">
        <f>B16</f>
        <v>0</v>
      </c>
      <c r="T16" s="5">
        <f>IF(D16&gt;=90,"امتياز",IF(D16&gt;=80,"جـيد جدا",IF(D16&gt;=70,"جـيد",IF(D16&gt;=60,"متوسط",IF(D16&gt;=50,"مقبول","راسب")))))</f>
        <v>0</v>
      </c>
      <c r="U16" s="5">
        <f>IF(E16&gt;=90,"امتياز",IF(E16&gt;=80,"جـيد جدا",IF(E16&gt;=70,"جـيد",IF(E16&gt;=60,"متوسط",IF(E16&gt;=50,"مقبول","راسب")))))</f>
        <v>0</v>
      </c>
      <c r="V16" s="5">
        <f>IF(F16&gt;=90,"امتياز",IF(F16&gt;=80,"جـيد جدا",IF(F16&gt;=70,"جـيد",IF(F16&gt;=60,"متوسط",IF(F16&gt;=50,"مقبول","راسب")))))</f>
        <v>0</v>
      </c>
      <c r="W16" s="5">
        <f>IF(G16&gt;=90,"امتياز",IF(G16&gt;=80,"جـيد جدا",IF(G16&gt;=70,"جـيد",IF(G16&gt;=60,"متوسط",IF(G16&gt;=50,"مقبول","راسب")))))</f>
        <v>0</v>
      </c>
      <c r="X16" s="5">
        <f>IF(H16&gt;=90,"امتياز",IF(H16&gt;=80,"جـيد جدا",IF(H16&gt;=70,"جـيد",IF(H16&gt;=60,"متوسط",IF(H16&gt;=50,"مقبول","راسب")))))</f>
        <v>0</v>
      </c>
      <c r="Y16" s="5">
        <f>IF(I16&gt;=90,"امتياز",IF(I16&gt;=80,"جـيد جدا",IF(I16&gt;=70,"جـيد",IF(I16&gt;=60,"متوسط",IF(I16&gt;=50,"مقبول","راسب")))))</f>
        <v>0</v>
      </c>
      <c r="Z16" s="5">
        <f>IF(J16&gt;=90,"امتياز",IF(J16&gt;=80,"جـيد جدا",IF(J16&gt;=70,"جـيد",IF(J16&gt;=60,"متوسط",IF(J16&gt;=50,"مقبول","راسب")))))</f>
        <v>0</v>
      </c>
      <c r="AA16" s="5">
        <f>IF(K16&gt;=90,"امتياز",IF(K16&gt;=80,"جـيد جدا",IF(K16&gt;=70,"جـيد",IF(K16&gt;=60,"متوسط",IF(K16&gt;=50,"مقبول","راسب")))))</f>
        <v>0</v>
      </c>
      <c r="AB16" s="5">
        <f>IF(L16&gt;=90,"امتياز",IF(L16&gt;=80,"جـيد جدا",IF(L16&gt;=70,"جـيد",IF(L16&gt;=60,"متوسط",IF(L16&gt;=50,"مقبول","راسب")))))</f>
        <v>0</v>
      </c>
      <c r="AC16" s="5">
        <f>IF(M16&gt;=90,"امتياز",IF(M16&gt;=80,"جـيد جدا",IF(M16&gt;=70,"جـيد",IF(M16&gt;=60,"متوسط",IF(M16&gt;=50,"مقبول","راسب")))))</f>
        <v>0</v>
      </c>
      <c r="AD16" s="5">
        <f>IF(N16&gt;=90,"امتياز",IF(N16&gt;=80,"جـيد جدا",IF(N16&gt;=70,"جـيد",IF(N16&gt;=60,"متوسط",IF(N16&gt;=50,"مقبول","راسب")))))</f>
        <v>0</v>
      </c>
      <c r="AE16" s="5">
        <f>MasterSheet!AA34</f>
        <v>0</v>
      </c>
      <c r="AF16" s="5">
        <f>MasterSheet!AB34</f>
        <v>0</v>
      </c>
      <c r="AG16" s="5">
        <f>MasterSheet!AC34</f>
        <v>0</v>
      </c>
      <c r="AL16" s="5">
        <f>IF(D16 &gt;=50,"P","F")</f>
        <v>0</v>
      </c>
      <c r="AM16" s="5">
        <f>IF(E16 &gt;=50,"P","F")</f>
        <v>0</v>
      </c>
      <c r="AN16" s="5">
        <f>IF(F16 &gt;=50,"P","F")</f>
        <v>0</v>
      </c>
      <c r="AO16" s="5">
        <f>IF(G16 &gt;=50,"P","F")</f>
        <v>0</v>
      </c>
      <c r="AP16" s="5">
        <f>IF(H16 &gt;=50,"P","F")</f>
        <v>0</v>
      </c>
      <c r="AQ16" s="5">
        <f>IF(I16 &gt;=50,"P","F")</f>
        <v>0</v>
      </c>
      <c r="AR16" s="5">
        <f>IF(J16 &gt;=50,"P","F")</f>
        <v>0</v>
      </c>
      <c r="AS16" s="5">
        <f>IF(K16 &gt;=50,"P","F")</f>
        <v>0</v>
      </c>
      <c r="AT16" s="5">
        <f>IF(L16 &gt;=50,"P","F")</f>
        <v>0</v>
      </c>
      <c r="AU16" s="5">
        <f>IF(M16 &gt;=50,"P","F")</f>
        <v>0</v>
      </c>
      <c r="AV16" s="5">
        <f>IF(N16 &gt;=50,"P","F")</f>
        <v>0</v>
      </c>
      <c r="AW16" s="5">
        <f>IF(AND(N16&gt;=50,N16&gt;=50,F16&gt;=50,G16&gt;=50,H16&gt;=50,I16&gt;=50,J16&gt;=50,K16&gt;=50,L16&gt;=50,M16&gt;=50),"P","F")</f>
        <v>0</v>
      </c>
    </row>
    <row r="17" spans="1:49">
      <c r="A17" s="5">
        <f>MasterSheet!B57</f>
        <v>0</v>
      </c>
      <c r="B17" s="5">
        <f>MasterSheet!C57</f>
        <v>0</v>
      </c>
      <c r="C17" s="5">
        <f>MasterSheet!D57</f>
        <v>0</v>
      </c>
      <c r="D17" s="5">
        <f>MasterSheet!E57</f>
        <v>0</v>
      </c>
      <c r="E17" s="5">
        <f>MasterSheet!G57</f>
        <v>0</v>
      </c>
      <c r="F17" s="5">
        <f>MasterSheet!I57</f>
        <v>0</v>
      </c>
      <c r="G17" s="5">
        <f>MasterSheet!K57</f>
        <v>0</v>
      </c>
      <c r="H17" s="5">
        <f>MasterSheet!M57</f>
        <v>0</v>
      </c>
      <c r="I17" s="5">
        <f>MasterSheet!O57</f>
        <v>0</v>
      </c>
      <c r="J17" s="5">
        <f>MasterSheet!Q57</f>
        <v>0</v>
      </c>
      <c r="K17" s="5">
        <f>MasterSheet!S57</f>
        <v>0</v>
      </c>
      <c r="L17" s="5">
        <f>MasterSheet!U57</f>
        <v>0</v>
      </c>
      <c r="M17" s="5">
        <f>MasterSheet!W57</f>
        <v>0</v>
      </c>
      <c r="N17" s="5">
        <f>MasterSheet!Y57</f>
        <v>0</v>
      </c>
      <c r="O17" s="5">
        <f>MasterSheet!AA57</f>
        <v>0</v>
      </c>
      <c r="P17" s="5">
        <f>MasterSheet!AB57</f>
        <v>0</v>
      </c>
      <c r="Q17" s="5">
        <f>MasterSheet!AC57</f>
        <v>0</v>
      </c>
      <c r="R17" s="5">
        <f>A17</f>
        <v>0</v>
      </c>
      <c r="S17" s="5">
        <f>B17</f>
        <v>0</v>
      </c>
      <c r="T17" s="5">
        <f>IF(D17&gt;=90,"امتياز",IF(D17&gt;=80,"جـيد جدا",IF(D17&gt;=70,"جـيد",IF(D17&gt;=60,"متوسط",IF(D17&gt;=50,"مقبول","راسب")))))</f>
        <v>0</v>
      </c>
      <c r="U17" s="5">
        <f>IF(E17&gt;=90,"امتياز",IF(E17&gt;=80,"جـيد جدا",IF(E17&gt;=70,"جـيد",IF(E17&gt;=60,"متوسط",IF(E17&gt;=50,"مقبول","راسب")))))</f>
        <v>0</v>
      </c>
      <c r="V17" s="5">
        <f>IF(F17&gt;=90,"امتياز",IF(F17&gt;=80,"جـيد جدا",IF(F17&gt;=70,"جـيد",IF(F17&gt;=60,"متوسط",IF(F17&gt;=50,"مقبول","راسب")))))</f>
        <v>0</v>
      </c>
      <c r="W17" s="5">
        <f>IF(G17&gt;=90,"امتياز",IF(G17&gt;=80,"جـيد جدا",IF(G17&gt;=70,"جـيد",IF(G17&gt;=60,"متوسط",IF(G17&gt;=50,"مقبول","راسب")))))</f>
        <v>0</v>
      </c>
      <c r="X17" s="5">
        <f>IF(H17&gt;=90,"امتياز",IF(H17&gt;=80,"جـيد جدا",IF(H17&gt;=70,"جـيد",IF(H17&gt;=60,"متوسط",IF(H17&gt;=50,"مقبول","راسب")))))</f>
        <v>0</v>
      </c>
      <c r="Y17" s="5">
        <f>IF(I17&gt;=90,"امتياز",IF(I17&gt;=80,"جـيد جدا",IF(I17&gt;=70,"جـيد",IF(I17&gt;=60,"متوسط",IF(I17&gt;=50,"مقبول","راسب")))))</f>
        <v>0</v>
      </c>
      <c r="Z17" s="5">
        <f>IF(J17&gt;=90,"امتياز",IF(J17&gt;=80,"جـيد جدا",IF(J17&gt;=70,"جـيد",IF(J17&gt;=60,"متوسط",IF(J17&gt;=50,"مقبول","راسب")))))</f>
        <v>0</v>
      </c>
      <c r="AA17" s="5">
        <f>IF(K17&gt;=90,"امتياز",IF(K17&gt;=80,"جـيد جدا",IF(K17&gt;=70,"جـيد",IF(K17&gt;=60,"متوسط",IF(K17&gt;=50,"مقبول","راسب")))))</f>
        <v>0</v>
      </c>
      <c r="AB17" s="5">
        <f>IF(L17&gt;=90,"امتياز",IF(L17&gt;=80,"جـيد جدا",IF(L17&gt;=70,"جـيد",IF(L17&gt;=60,"متوسط",IF(L17&gt;=50,"مقبول","راسب")))))</f>
        <v>0</v>
      </c>
      <c r="AC17" s="5">
        <f>IF(M17&gt;=90,"امتياز",IF(M17&gt;=80,"جـيد جدا",IF(M17&gt;=70,"جـيد",IF(M17&gt;=60,"متوسط",IF(M17&gt;=50,"مقبول","راسب")))))</f>
        <v>0</v>
      </c>
      <c r="AD17" s="5">
        <f>IF(N17&gt;=90,"امتياز",IF(N17&gt;=80,"جـيد جدا",IF(N17&gt;=70,"جـيد",IF(N17&gt;=60,"متوسط",IF(N17&gt;=50,"مقبول","راسب")))))</f>
        <v>0</v>
      </c>
      <c r="AE17" s="5">
        <f>MasterSheet!AA57</f>
        <v>0</v>
      </c>
      <c r="AF17" s="5">
        <f>MasterSheet!AB57</f>
        <v>0</v>
      </c>
      <c r="AG17" s="5">
        <f>MasterSheet!AC57</f>
        <v>0</v>
      </c>
      <c r="AL17" s="5">
        <f>IF(D17 &gt;=50,"P","F")</f>
        <v>0</v>
      </c>
      <c r="AM17" s="5">
        <f>IF(E17 &gt;=50,"P","F")</f>
        <v>0</v>
      </c>
      <c r="AN17" s="5">
        <f>IF(F17 &gt;=50,"P","F")</f>
        <v>0</v>
      </c>
      <c r="AO17" s="5">
        <f>IF(G17 &gt;=50,"P","F")</f>
        <v>0</v>
      </c>
      <c r="AP17" s="5">
        <f>IF(H17 &gt;=50,"P","F")</f>
        <v>0</v>
      </c>
      <c r="AQ17" s="5">
        <f>IF(I17 &gt;=50,"P","F")</f>
        <v>0</v>
      </c>
      <c r="AR17" s="5">
        <f>IF(J17 &gt;=50,"P","F")</f>
        <v>0</v>
      </c>
      <c r="AS17" s="5">
        <f>IF(K17 &gt;=50,"P","F")</f>
        <v>0</v>
      </c>
      <c r="AT17" s="5">
        <f>IF(L17 &gt;=50,"P","F")</f>
        <v>0</v>
      </c>
      <c r="AU17" s="5">
        <f>IF(M17 &gt;=50,"P","F")</f>
        <v>0</v>
      </c>
      <c r="AV17" s="5">
        <f>IF(N17 &gt;=50,"P","F")</f>
        <v>0</v>
      </c>
      <c r="AW17" s="5">
        <f>IF(AND(N17&gt;=50,N17&gt;=50,F17&gt;=50,G17&gt;=50,H17&gt;=50,I17&gt;=50,J17&gt;=50,K17&gt;=50,L17&gt;=50,M17&gt;=50),"P","F")</f>
        <v>0</v>
      </c>
    </row>
    <row r="18" spans="1:49">
      <c r="A18" s="5">
        <f>MasterSheet!B60</f>
        <v>0</v>
      </c>
      <c r="B18" s="5">
        <f>MasterSheet!C60</f>
        <v>0</v>
      </c>
      <c r="C18" s="5">
        <f>MasterSheet!D60</f>
        <v>0</v>
      </c>
      <c r="D18" s="5">
        <f>MasterSheet!E60</f>
        <v>0</v>
      </c>
      <c r="E18" s="5">
        <f>MasterSheet!G60</f>
        <v>0</v>
      </c>
      <c r="F18" s="5">
        <f>MasterSheet!I60</f>
        <v>0</v>
      </c>
      <c r="G18" s="5">
        <f>MasterSheet!K60</f>
        <v>0</v>
      </c>
      <c r="H18" s="5">
        <f>MasterSheet!M60</f>
        <v>0</v>
      </c>
      <c r="I18" s="5">
        <f>MasterSheet!O60</f>
        <v>0</v>
      </c>
      <c r="J18" s="5">
        <f>MasterSheet!Q60</f>
        <v>0</v>
      </c>
      <c r="K18" s="5">
        <f>MasterSheet!S60</f>
        <v>0</v>
      </c>
      <c r="L18" s="5">
        <f>MasterSheet!U60</f>
        <v>0</v>
      </c>
      <c r="M18" s="5">
        <f>MasterSheet!W60</f>
        <v>0</v>
      </c>
      <c r="N18" s="5">
        <f>MasterSheet!Y60</f>
        <v>0</v>
      </c>
      <c r="O18" s="5">
        <f>MasterSheet!AA60</f>
        <v>0</v>
      </c>
      <c r="P18" s="5">
        <f>MasterSheet!AB60</f>
        <v>0</v>
      </c>
      <c r="Q18" s="5">
        <f>MasterSheet!AC60</f>
        <v>0</v>
      </c>
      <c r="R18" s="5">
        <f>A18</f>
        <v>0</v>
      </c>
      <c r="S18" s="5">
        <f>B18</f>
        <v>0</v>
      </c>
      <c r="T18" s="5">
        <f>IF(D18&gt;=90,"امتياز",IF(D18&gt;=80,"جـيد جدا",IF(D18&gt;=70,"جـيد",IF(D18&gt;=60,"متوسط",IF(D18&gt;=50,"مقبول","راسب")))))</f>
        <v>0</v>
      </c>
      <c r="U18" s="5">
        <f>IF(E18&gt;=90,"امتياز",IF(E18&gt;=80,"جـيد جدا",IF(E18&gt;=70,"جـيد",IF(E18&gt;=60,"متوسط",IF(E18&gt;=50,"مقبول","راسب")))))</f>
        <v>0</v>
      </c>
      <c r="V18" s="5">
        <f>IF(F18&gt;=90,"امتياز",IF(F18&gt;=80,"جـيد جدا",IF(F18&gt;=70,"جـيد",IF(F18&gt;=60,"متوسط",IF(F18&gt;=50,"مقبول","راسب")))))</f>
        <v>0</v>
      </c>
      <c r="W18" s="5">
        <f>IF(G18&gt;=90,"امتياز",IF(G18&gt;=80,"جـيد جدا",IF(G18&gt;=70,"جـيد",IF(G18&gt;=60,"متوسط",IF(G18&gt;=50,"مقبول","راسب")))))</f>
        <v>0</v>
      </c>
      <c r="X18" s="5">
        <f>IF(H18&gt;=90,"امتياز",IF(H18&gt;=80,"جـيد جدا",IF(H18&gt;=70,"جـيد",IF(H18&gt;=60,"متوسط",IF(H18&gt;=50,"مقبول","راسب")))))</f>
        <v>0</v>
      </c>
      <c r="Y18" s="5">
        <f>IF(I18&gt;=90,"امتياز",IF(I18&gt;=80,"جـيد جدا",IF(I18&gt;=70,"جـيد",IF(I18&gt;=60,"متوسط",IF(I18&gt;=50,"مقبول","راسب")))))</f>
        <v>0</v>
      </c>
      <c r="Z18" s="5">
        <f>IF(J18&gt;=90,"امتياز",IF(J18&gt;=80,"جـيد جدا",IF(J18&gt;=70,"جـيد",IF(J18&gt;=60,"متوسط",IF(J18&gt;=50,"مقبول","راسب")))))</f>
        <v>0</v>
      </c>
      <c r="AA18" s="5">
        <f>IF(K18&gt;=90,"امتياز",IF(K18&gt;=80,"جـيد جدا",IF(K18&gt;=70,"جـيد",IF(K18&gt;=60,"متوسط",IF(K18&gt;=50,"مقبول","راسب")))))</f>
        <v>0</v>
      </c>
      <c r="AB18" s="5">
        <f>IF(L18&gt;=90,"امتياز",IF(L18&gt;=80,"جـيد جدا",IF(L18&gt;=70,"جـيد",IF(L18&gt;=60,"متوسط",IF(L18&gt;=50,"مقبول","راسب")))))</f>
        <v>0</v>
      </c>
      <c r="AC18" s="5">
        <f>IF(M18&gt;=90,"امتياز",IF(M18&gt;=80,"جـيد جدا",IF(M18&gt;=70,"جـيد",IF(M18&gt;=60,"متوسط",IF(M18&gt;=50,"مقبول","راسب")))))</f>
        <v>0</v>
      </c>
      <c r="AD18" s="5">
        <f>IF(N18&gt;=90,"امتياز",IF(N18&gt;=80,"جـيد جدا",IF(N18&gt;=70,"جـيد",IF(N18&gt;=60,"متوسط",IF(N18&gt;=50,"مقبول","راسب")))))</f>
        <v>0</v>
      </c>
      <c r="AE18" s="5">
        <f>MasterSheet!AA60</f>
        <v>0</v>
      </c>
      <c r="AF18" s="5">
        <f>MasterSheet!AB60</f>
        <v>0</v>
      </c>
      <c r="AG18" s="5">
        <f>MasterSheet!AC60</f>
        <v>0</v>
      </c>
      <c r="AL18" s="5">
        <f>IF(D18 &gt;=50,"P","F")</f>
        <v>0</v>
      </c>
      <c r="AM18" s="5">
        <f>IF(E18 &gt;=50,"P","F")</f>
        <v>0</v>
      </c>
      <c r="AN18" s="5">
        <f>IF(F18 &gt;=50,"P","F")</f>
        <v>0</v>
      </c>
      <c r="AO18" s="5">
        <f>IF(G18 &gt;=50,"P","F")</f>
        <v>0</v>
      </c>
      <c r="AP18" s="5">
        <f>IF(H18 &gt;=50,"P","F")</f>
        <v>0</v>
      </c>
      <c r="AQ18" s="5">
        <f>IF(I18 &gt;=50,"P","F")</f>
        <v>0</v>
      </c>
      <c r="AR18" s="5">
        <f>IF(J18 &gt;=50,"P","F")</f>
        <v>0</v>
      </c>
      <c r="AS18" s="5">
        <f>IF(K18 &gt;=50,"P","F")</f>
        <v>0</v>
      </c>
      <c r="AT18" s="5">
        <f>IF(L18 &gt;=50,"P","F")</f>
        <v>0</v>
      </c>
      <c r="AU18" s="5">
        <f>IF(M18 &gt;=50,"P","F")</f>
        <v>0</v>
      </c>
      <c r="AV18" s="5">
        <f>IF(N18 &gt;=50,"P","F")</f>
        <v>0</v>
      </c>
      <c r="AW18" s="5">
        <f>IF(AND(N18&gt;=50,N18&gt;=50,F18&gt;=50,G18&gt;=50,H18&gt;=50,I18&gt;=50,J18&gt;=50,K18&gt;=50,L18&gt;=50,M18&gt;=50),"P","F")</f>
        <v>0</v>
      </c>
    </row>
    <row r="19" spans="1:49">
      <c r="A19" s="5">
        <f>MasterSheet!B63</f>
        <v>0</v>
      </c>
      <c r="B19" s="5">
        <f>MasterSheet!C63</f>
        <v>0</v>
      </c>
      <c r="C19" s="5">
        <f>MasterSheet!D63</f>
        <v>0</v>
      </c>
      <c r="D19" s="5">
        <f>MasterSheet!E63</f>
        <v>0</v>
      </c>
      <c r="E19" s="5">
        <f>MasterSheet!G63</f>
        <v>0</v>
      </c>
      <c r="F19" s="5">
        <f>MasterSheet!I63</f>
        <v>0</v>
      </c>
      <c r="G19" s="5">
        <f>MasterSheet!K63</f>
        <v>0</v>
      </c>
      <c r="H19" s="5">
        <f>MasterSheet!M63</f>
        <v>0</v>
      </c>
      <c r="I19" s="5">
        <f>MasterSheet!O63</f>
        <v>0</v>
      </c>
      <c r="J19" s="5">
        <f>MasterSheet!Q63</f>
        <v>0</v>
      </c>
      <c r="K19" s="5">
        <f>MasterSheet!S63</f>
        <v>0</v>
      </c>
      <c r="L19" s="5">
        <f>MasterSheet!U63</f>
        <v>0</v>
      </c>
      <c r="M19" s="5">
        <f>MasterSheet!W63</f>
        <v>0</v>
      </c>
      <c r="N19" s="5">
        <f>MasterSheet!Y63</f>
        <v>0</v>
      </c>
      <c r="O19" s="5">
        <f>MasterSheet!AA63</f>
        <v>0</v>
      </c>
      <c r="P19" s="5">
        <f>MasterSheet!AB63</f>
        <v>0</v>
      </c>
      <c r="Q19" s="5">
        <f>MasterSheet!AC63</f>
        <v>0</v>
      </c>
      <c r="R19" s="5">
        <f>A19</f>
        <v>0</v>
      </c>
      <c r="S19" s="5">
        <f>B19</f>
        <v>0</v>
      </c>
      <c r="T19" s="5">
        <f>IF(D19&gt;=90,"امتياز",IF(D19&gt;=80,"جـيد جدا",IF(D19&gt;=70,"جـيد",IF(D19&gt;=60,"متوسط",IF(D19&gt;=50,"مقبول","راسب")))))</f>
        <v>0</v>
      </c>
      <c r="U19" s="5">
        <f>IF(E19&gt;=90,"امتياز",IF(E19&gt;=80,"جـيد جدا",IF(E19&gt;=70,"جـيد",IF(E19&gt;=60,"متوسط",IF(E19&gt;=50,"مقبول","راسب")))))</f>
        <v>0</v>
      </c>
      <c r="V19" s="5">
        <f>IF(F19&gt;=90,"امتياز",IF(F19&gt;=80,"جـيد جدا",IF(F19&gt;=70,"جـيد",IF(F19&gt;=60,"متوسط",IF(F19&gt;=50,"مقبول","راسب")))))</f>
        <v>0</v>
      </c>
      <c r="W19" s="5">
        <f>IF(G19&gt;=90,"امتياز",IF(G19&gt;=80,"جـيد جدا",IF(G19&gt;=70,"جـيد",IF(G19&gt;=60,"متوسط",IF(G19&gt;=50,"مقبول","راسب")))))</f>
        <v>0</v>
      </c>
      <c r="X19" s="5">
        <f>IF(H19&gt;=90,"امتياز",IF(H19&gt;=80,"جـيد جدا",IF(H19&gt;=70,"جـيد",IF(H19&gt;=60,"متوسط",IF(H19&gt;=50,"مقبول","راسب")))))</f>
        <v>0</v>
      </c>
      <c r="Y19" s="5">
        <f>IF(I19&gt;=90,"امتياز",IF(I19&gt;=80,"جـيد جدا",IF(I19&gt;=70,"جـيد",IF(I19&gt;=60,"متوسط",IF(I19&gt;=50,"مقبول","راسب")))))</f>
        <v>0</v>
      </c>
      <c r="Z19" s="5">
        <f>IF(J19&gt;=90,"امتياز",IF(J19&gt;=80,"جـيد جدا",IF(J19&gt;=70,"جـيد",IF(J19&gt;=60,"متوسط",IF(J19&gt;=50,"مقبول","راسب")))))</f>
        <v>0</v>
      </c>
      <c r="AA19" s="5">
        <f>IF(K19&gt;=90,"امتياز",IF(K19&gt;=80,"جـيد جدا",IF(K19&gt;=70,"جـيد",IF(K19&gt;=60,"متوسط",IF(K19&gt;=50,"مقبول","راسب")))))</f>
        <v>0</v>
      </c>
      <c r="AB19" s="5">
        <f>IF(L19&gt;=90,"امتياز",IF(L19&gt;=80,"جـيد جدا",IF(L19&gt;=70,"جـيد",IF(L19&gt;=60,"متوسط",IF(L19&gt;=50,"مقبول","راسب")))))</f>
        <v>0</v>
      </c>
      <c r="AC19" s="5">
        <f>IF(M19&gt;=90,"امتياز",IF(M19&gt;=80,"جـيد جدا",IF(M19&gt;=70,"جـيد",IF(M19&gt;=60,"متوسط",IF(M19&gt;=50,"مقبول","راسب")))))</f>
        <v>0</v>
      </c>
      <c r="AD19" s="5">
        <f>IF(N19&gt;=90,"امتياز",IF(N19&gt;=80,"جـيد جدا",IF(N19&gt;=70,"جـيد",IF(N19&gt;=60,"متوسط",IF(N19&gt;=50,"مقبول","راسب")))))</f>
        <v>0</v>
      </c>
      <c r="AE19" s="5">
        <f>MasterSheet!AA63</f>
        <v>0</v>
      </c>
      <c r="AF19" s="5">
        <f>MasterSheet!AB63</f>
        <v>0</v>
      </c>
      <c r="AG19" s="5">
        <f>MasterSheet!AC63</f>
        <v>0</v>
      </c>
      <c r="AL19" s="5">
        <f>IF(D19 &gt;=50,"P","F")</f>
        <v>0</v>
      </c>
      <c r="AM19" s="5">
        <f>IF(E19 &gt;=50,"P","F")</f>
        <v>0</v>
      </c>
      <c r="AN19" s="5">
        <f>IF(F19 &gt;=50,"P","F")</f>
        <v>0</v>
      </c>
      <c r="AO19" s="5">
        <f>IF(G19 &gt;=50,"P","F")</f>
        <v>0</v>
      </c>
      <c r="AP19" s="5">
        <f>IF(H19 &gt;=50,"P","F")</f>
        <v>0</v>
      </c>
      <c r="AQ19" s="5">
        <f>IF(I19 &gt;=50,"P","F")</f>
        <v>0</v>
      </c>
      <c r="AR19" s="5">
        <f>IF(J19 &gt;=50,"P","F")</f>
        <v>0</v>
      </c>
      <c r="AS19" s="5">
        <f>IF(K19 &gt;=50,"P","F")</f>
        <v>0</v>
      </c>
      <c r="AT19" s="5">
        <f>IF(L19 &gt;=50,"P","F")</f>
        <v>0</v>
      </c>
      <c r="AU19" s="5">
        <f>IF(M19 &gt;=50,"P","F")</f>
        <v>0</v>
      </c>
      <c r="AV19" s="5">
        <f>IF(N19 &gt;=50,"P","F")</f>
        <v>0</v>
      </c>
      <c r="AW19" s="5">
        <f>IF(AND(N19&gt;=50,N19&gt;=50,F19&gt;=50,G19&gt;=50,H19&gt;=50,I19&gt;=50,J19&gt;=50,K19&gt;=50,L19&gt;=50,M19&gt;=50),"P","F")</f>
        <v>0</v>
      </c>
    </row>
    <row r="20" spans="1:49">
      <c r="A20" s="5">
        <f>MasterSheet!B66</f>
        <v>0</v>
      </c>
      <c r="B20" s="5">
        <f>MasterSheet!C66</f>
        <v>0</v>
      </c>
      <c r="C20" s="5">
        <f>MasterSheet!D66</f>
        <v>0</v>
      </c>
      <c r="D20" s="5">
        <f>MasterSheet!E66</f>
        <v>0</v>
      </c>
      <c r="E20" s="5">
        <f>MasterSheet!G66</f>
        <v>0</v>
      </c>
      <c r="F20" s="5">
        <f>MasterSheet!I66</f>
        <v>0</v>
      </c>
      <c r="G20" s="5">
        <f>MasterSheet!K66</f>
        <v>0</v>
      </c>
      <c r="H20" s="5">
        <f>MasterSheet!M66</f>
        <v>0</v>
      </c>
      <c r="I20" s="5">
        <f>MasterSheet!O66</f>
        <v>0</v>
      </c>
      <c r="J20" s="5">
        <f>MasterSheet!Q66</f>
        <v>0</v>
      </c>
      <c r="K20" s="5">
        <f>MasterSheet!S66</f>
        <v>0</v>
      </c>
      <c r="L20" s="5">
        <f>MasterSheet!U66</f>
        <v>0</v>
      </c>
      <c r="M20" s="5">
        <f>MasterSheet!W66</f>
        <v>0</v>
      </c>
      <c r="N20" s="5">
        <f>MasterSheet!Y66</f>
        <v>0</v>
      </c>
      <c r="O20" s="5">
        <f>MasterSheet!AA66</f>
        <v>0</v>
      </c>
      <c r="P20" s="5">
        <f>MasterSheet!AB66</f>
        <v>0</v>
      </c>
      <c r="Q20" s="5">
        <f>MasterSheet!AC66</f>
        <v>0</v>
      </c>
      <c r="R20" s="5">
        <f>A20</f>
        <v>0</v>
      </c>
      <c r="S20" s="5">
        <f>B20</f>
        <v>0</v>
      </c>
      <c r="T20" s="5">
        <f>IF(D20&gt;=90,"امتياز",IF(D20&gt;=80,"جـيد جدا",IF(D20&gt;=70,"جـيد",IF(D20&gt;=60,"متوسط",IF(D20&gt;=50,"مقبول","راسب")))))</f>
        <v>0</v>
      </c>
      <c r="U20" s="5">
        <f>IF(E20&gt;=90,"امتياز",IF(E20&gt;=80,"جـيد جدا",IF(E20&gt;=70,"جـيد",IF(E20&gt;=60,"متوسط",IF(E20&gt;=50,"مقبول","راسب")))))</f>
        <v>0</v>
      </c>
      <c r="V20" s="5">
        <f>IF(F20&gt;=90,"امتياز",IF(F20&gt;=80,"جـيد جدا",IF(F20&gt;=70,"جـيد",IF(F20&gt;=60,"متوسط",IF(F20&gt;=50,"مقبول","راسب")))))</f>
        <v>0</v>
      </c>
      <c r="W20" s="5">
        <f>IF(G20&gt;=90,"امتياز",IF(G20&gt;=80,"جـيد جدا",IF(G20&gt;=70,"جـيد",IF(G20&gt;=60,"متوسط",IF(G20&gt;=50,"مقبول","راسب")))))</f>
        <v>0</v>
      </c>
      <c r="X20" s="5">
        <f>IF(H20&gt;=90,"امتياز",IF(H20&gt;=80,"جـيد جدا",IF(H20&gt;=70,"جـيد",IF(H20&gt;=60,"متوسط",IF(H20&gt;=50,"مقبول","راسب")))))</f>
        <v>0</v>
      </c>
      <c r="Y20" s="5">
        <f>IF(I20&gt;=90,"امتياز",IF(I20&gt;=80,"جـيد جدا",IF(I20&gt;=70,"جـيد",IF(I20&gt;=60,"متوسط",IF(I20&gt;=50,"مقبول","راسب")))))</f>
        <v>0</v>
      </c>
      <c r="Z20" s="5">
        <f>IF(J20&gt;=90,"امتياز",IF(J20&gt;=80,"جـيد جدا",IF(J20&gt;=70,"جـيد",IF(J20&gt;=60,"متوسط",IF(J20&gt;=50,"مقبول","راسب")))))</f>
        <v>0</v>
      </c>
      <c r="AA20" s="5">
        <f>IF(K20&gt;=90,"امتياز",IF(K20&gt;=80,"جـيد جدا",IF(K20&gt;=70,"جـيد",IF(K20&gt;=60,"متوسط",IF(K20&gt;=50,"مقبول","راسب")))))</f>
        <v>0</v>
      </c>
      <c r="AB20" s="5">
        <f>IF(L20&gt;=90,"امتياز",IF(L20&gt;=80,"جـيد جدا",IF(L20&gt;=70,"جـيد",IF(L20&gt;=60,"متوسط",IF(L20&gt;=50,"مقبول","راسب")))))</f>
        <v>0</v>
      </c>
      <c r="AC20" s="5">
        <f>IF(M20&gt;=90,"امتياز",IF(M20&gt;=80,"جـيد جدا",IF(M20&gt;=70,"جـيد",IF(M20&gt;=60,"متوسط",IF(M20&gt;=50,"مقبول","راسب")))))</f>
        <v>0</v>
      </c>
      <c r="AD20" s="5">
        <f>IF(N20&gt;=90,"امتياز",IF(N20&gt;=80,"جـيد جدا",IF(N20&gt;=70,"جـيد",IF(N20&gt;=60,"متوسط",IF(N20&gt;=50,"مقبول","راسب")))))</f>
        <v>0</v>
      </c>
      <c r="AE20" s="5">
        <f>MasterSheet!AA66</f>
        <v>0</v>
      </c>
      <c r="AF20" s="5">
        <f>MasterSheet!AB66</f>
        <v>0</v>
      </c>
      <c r="AG20" s="5">
        <f>MasterSheet!AC66</f>
        <v>0</v>
      </c>
      <c r="AL20" s="5">
        <f>IF(D20 &gt;=50,"P","F")</f>
        <v>0</v>
      </c>
      <c r="AM20" s="5">
        <f>IF(E20 &gt;=50,"P","F")</f>
        <v>0</v>
      </c>
      <c r="AN20" s="5">
        <f>IF(F20 &gt;=50,"P","F")</f>
        <v>0</v>
      </c>
      <c r="AO20" s="5">
        <f>IF(G20 &gt;=50,"P","F")</f>
        <v>0</v>
      </c>
      <c r="AP20" s="5">
        <f>IF(H20 &gt;=50,"P","F")</f>
        <v>0</v>
      </c>
      <c r="AQ20" s="5">
        <f>IF(I20 &gt;=50,"P","F")</f>
        <v>0</v>
      </c>
      <c r="AR20" s="5">
        <f>IF(J20 &gt;=50,"P","F")</f>
        <v>0</v>
      </c>
      <c r="AS20" s="5">
        <f>IF(K20 &gt;=50,"P","F")</f>
        <v>0</v>
      </c>
      <c r="AT20" s="5">
        <f>IF(L20 &gt;=50,"P","F")</f>
        <v>0</v>
      </c>
      <c r="AU20" s="5">
        <f>IF(M20 &gt;=50,"P","F")</f>
        <v>0</v>
      </c>
      <c r="AV20" s="5">
        <f>IF(N20 &gt;=50,"P","F")</f>
        <v>0</v>
      </c>
      <c r="AW20" s="5">
        <f>IF(AND(N20&gt;=50,N20&gt;=50,F20&gt;=50,G20&gt;=50,H20&gt;=50,I20&gt;=50,J20&gt;=50,K20&gt;=50,L20&gt;=50,M20&gt;=50),"P","F")</f>
        <v>0</v>
      </c>
    </row>
    <row r="21" spans="1:49">
      <c r="A21" s="5">
        <f>MasterSheet!B69</f>
        <v>0</v>
      </c>
      <c r="B21" s="5">
        <f>MasterSheet!C69</f>
        <v>0</v>
      </c>
      <c r="C21" s="5">
        <f>MasterSheet!D69</f>
        <v>0</v>
      </c>
      <c r="D21" s="5">
        <f>MasterSheet!E69</f>
        <v>0</v>
      </c>
      <c r="E21" s="5">
        <f>MasterSheet!G69</f>
        <v>0</v>
      </c>
      <c r="F21" s="5">
        <f>MasterSheet!I69</f>
        <v>0</v>
      </c>
      <c r="G21" s="5">
        <f>MasterSheet!K69</f>
        <v>0</v>
      </c>
      <c r="H21" s="5">
        <f>MasterSheet!M69</f>
        <v>0</v>
      </c>
      <c r="I21" s="5">
        <f>MasterSheet!O69</f>
        <v>0</v>
      </c>
      <c r="J21" s="5">
        <f>MasterSheet!Q69</f>
        <v>0</v>
      </c>
      <c r="K21" s="5">
        <f>MasterSheet!S69</f>
        <v>0</v>
      </c>
      <c r="L21" s="5">
        <f>MasterSheet!U69</f>
        <v>0</v>
      </c>
      <c r="M21" s="5">
        <f>MasterSheet!W69</f>
        <v>0</v>
      </c>
      <c r="N21" s="5">
        <f>MasterSheet!Y69</f>
        <v>0</v>
      </c>
      <c r="O21" s="5">
        <f>MasterSheet!AA69</f>
        <v>0</v>
      </c>
      <c r="P21" s="5">
        <f>MasterSheet!AB69</f>
        <v>0</v>
      </c>
      <c r="Q21" s="5">
        <f>MasterSheet!AC69</f>
        <v>0</v>
      </c>
      <c r="R21" s="5">
        <f>A21</f>
        <v>0</v>
      </c>
      <c r="S21" s="5">
        <f>B21</f>
        <v>0</v>
      </c>
      <c r="T21" s="5">
        <f>IF(D21&gt;=90,"امتياز",IF(D21&gt;=80,"جـيد جدا",IF(D21&gt;=70,"جـيد",IF(D21&gt;=60,"متوسط",IF(D21&gt;=50,"مقبول","راسب")))))</f>
        <v>0</v>
      </c>
      <c r="U21" s="5">
        <f>IF(E21&gt;=90,"امتياز",IF(E21&gt;=80,"جـيد جدا",IF(E21&gt;=70,"جـيد",IF(E21&gt;=60,"متوسط",IF(E21&gt;=50,"مقبول","راسب")))))</f>
        <v>0</v>
      </c>
      <c r="V21" s="5">
        <f>IF(F21&gt;=90,"امتياز",IF(F21&gt;=80,"جـيد جدا",IF(F21&gt;=70,"جـيد",IF(F21&gt;=60,"متوسط",IF(F21&gt;=50,"مقبول","راسب")))))</f>
        <v>0</v>
      </c>
      <c r="W21" s="5">
        <f>IF(G21&gt;=90,"امتياز",IF(G21&gt;=80,"جـيد جدا",IF(G21&gt;=70,"جـيد",IF(G21&gt;=60,"متوسط",IF(G21&gt;=50,"مقبول","راسب")))))</f>
        <v>0</v>
      </c>
      <c r="X21" s="5">
        <f>IF(H21&gt;=90,"امتياز",IF(H21&gt;=80,"جـيد جدا",IF(H21&gt;=70,"جـيد",IF(H21&gt;=60,"متوسط",IF(H21&gt;=50,"مقبول","راسب")))))</f>
        <v>0</v>
      </c>
      <c r="Y21" s="5">
        <f>IF(I21&gt;=90,"امتياز",IF(I21&gt;=80,"جـيد جدا",IF(I21&gt;=70,"جـيد",IF(I21&gt;=60,"متوسط",IF(I21&gt;=50,"مقبول","راسب")))))</f>
        <v>0</v>
      </c>
      <c r="Z21" s="5">
        <f>IF(J21&gt;=90,"امتياز",IF(J21&gt;=80,"جـيد جدا",IF(J21&gt;=70,"جـيد",IF(J21&gt;=60,"متوسط",IF(J21&gt;=50,"مقبول","راسب")))))</f>
        <v>0</v>
      </c>
      <c r="AA21" s="5">
        <f>IF(K21&gt;=90,"امتياز",IF(K21&gt;=80,"جـيد جدا",IF(K21&gt;=70,"جـيد",IF(K21&gt;=60,"متوسط",IF(K21&gt;=50,"مقبول","راسب")))))</f>
        <v>0</v>
      </c>
      <c r="AB21" s="5">
        <f>IF(L21&gt;=90,"امتياز",IF(L21&gt;=80,"جـيد جدا",IF(L21&gt;=70,"جـيد",IF(L21&gt;=60,"متوسط",IF(L21&gt;=50,"مقبول","راسب")))))</f>
        <v>0</v>
      </c>
      <c r="AC21" s="5">
        <f>IF(M21&gt;=90,"امتياز",IF(M21&gt;=80,"جـيد جدا",IF(M21&gt;=70,"جـيد",IF(M21&gt;=60,"متوسط",IF(M21&gt;=50,"مقبول","راسب")))))</f>
        <v>0</v>
      </c>
      <c r="AD21" s="5">
        <f>IF(N21&gt;=90,"امتياز",IF(N21&gt;=80,"جـيد جدا",IF(N21&gt;=70,"جـيد",IF(N21&gt;=60,"متوسط",IF(N21&gt;=50,"مقبول","راسب")))))</f>
        <v>0</v>
      </c>
      <c r="AE21" s="5">
        <f>MasterSheet!AA69</f>
        <v>0</v>
      </c>
      <c r="AF21" s="5">
        <f>MasterSheet!AB69</f>
        <v>0</v>
      </c>
      <c r="AG21" s="5">
        <f>MasterSheet!AC69</f>
        <v>0</v>
      </c>
      <c r="AL21" s="5">
        <f>IF(D21 &gt;=50,"P","F")</f>
        <v>0</v>
      </c>
      <c r="AM21" s="5">
        <f>IF(E21 &gt;=50,"P","F")</f>
        <v>0</v>
      </c>
      <c r="AN21" s="5">
        <f>IF(F21 &gt;=50,"P","F")</f>
        <v>0</v>
      </c>
      <c r="AO21" s="5">
        <f>IF(G21 &gt;=50,"P","F")</f>
        <v>0</v>
      </c>
      <c r="AP21" s="5">
        <f>IF(H21 &gt;=50,"P","F")</f>
        <v>0</v>
      </c>
      <c r="AQ21" s="5">
        <f>IF(I21 &gt;=50,"P","F")</f>
        <v>0</v>
      </c>
      <c r="AR21" s="5">
        <f>IF(J21 &gt;=50,"P","F")</f>
        <v>0</v>
      </c>
      <c r="AS21" s="5">
        <f>IF(K21 &gt;=50,"P","F")</f>
        <v>0</v>
      </c>
      <c r="AT21" s="5">
        <f>IF(L21 &gt;=50,"P","F")</f>
        <v>0</v>
      </c>
      <c r="AU21" s="5">
        <f>IF(M21 &gt;=50,"P","F")</f>
        <v>0</v>
      </c>
      <c r="AV21" s="5">
        <f>IF(N21 &gt;=50,"P","F")</f>
        <v>0</v>
      </c>
      <c r="AW21" s="5">
        <f>IF(AND(N21&gt;=50,N21&gt;=50,F21&gt;=50,G21&gt;=50,H21&gt;=50,I21&gt;=50,J21&gt;=50,K21&gt;=50,L21&gt;=50,M21&gt;=50),"P","F")</f>
        <v>0</v>
      </c>
    </row>
    <row r="22" spans="1:49">
      <c r="A22" s="5">
        <f>MasterSheet!B72</f>
        <v>0</v>
      </c>
      <c r="B22" s="5">
        <f>MasterSheet!C72</f>
        <v>0</v>
      </c>
      <c r="C22" s="5">
        <f>MasterSheet!D72</f>
        <v>0</v>
      </c>
      <c r="D22" s="5">
        <f>MasterSheet!E72</f>
        <v>0</v>
      </c>
      <c r="E22" s="5">
        <f>MasterSheet!G72</f>
        <v>0</v>
      </c>
      <c r="F22" s="5">
        <f>MasterSheet!I72</f>
        <v>0</v>
      </c>
      <c r="G22" s="5">
        <f>MasterSheet!K72</f>
        <v>0</v>
      </c>
      <c r="H22" s="5">
        <f>MasterSheet!M72</f>
        <v>0</v>
      </c>
      <c r="I22" s="5">
        <f>MasterSheet!O72</f>
        <v>0</v>
      </c>
      <c r="J22" s="5">
        <f>MasterSheet!Q72</f>
        <v>0</v>
      </c>
      <c r="K22" s="5">
        <f>MasterSheet!S72</f>
        <v>0</v>
      </c>
      <c r="L22" s="5">
        <f>MasterSheet!U72</f>
        <v>0</v>
      </c>
      <c r="M22" s="5">
        <f>MasterSheet!W72</f>
        <v>0</v>
      </c>
      <c r="N22" s="5">
        <f>MasterSheet!Y72</f>
        <v>0</v>
      </c>
      <c r="O22" s="5">
        <f>MasterSheet!AA72</f>
        <v>0</v>
      </c>
      <c r="P22" s="5">
        <f>MasterSheet!AB72</f>
        <v>0</v>
      </c>
      <c r="Q22" s="5">
        <f>MasterSheet!AC72</f>
        <v>0</v>
      </c>
      <c r="R22" s="5">
        <f>A22</f>
        <v>0</v>
      </c>
      <c r="S22" s="5">
        <f>B22</f>
        <v>0</v>
      </c>
      <c r="T22" s="5">
        <f>IF(D22&gt;=90,"امتياز",IF(D22&gt;=80,"جـيد جدا",IF(D22&gt;=70,"جـيد",IF(D22&gt;=60,"متوسط",IF(D22&gt;=50,"مقبول","راسب")))))</f>
        <v>0</v>
      </c>
      <c r="U22" s="5">
        <f>IF(E22&gt;=90,"امتياز",IF(E22&gt;=80,"جـيد جدا",IF(E22&gt;=70,"جـيد",IF(E22&gt;=60,"متوسط",IF(E22&gt;=50,"مقبول","راسب")))))</f>
        <v>0</v>
      </c>
      <c r="V22" s="5">
        <f>IF(F22&gt;=90,"امتياز",IF(F22&gt;=80,"جـيد جدا",IF(F22&gt;=70,"جـيد",IF(F22&gt;=60,"متوسط",IF(F22&gt;=50,"مقبول","راسب")))))</f>
        <v>0</v>
      </c>
      <c r="W22" s="5">
        <f>IF(G22&gt;=90,"امتياز",IF(G22&gt;=80,"جـيد جدا",IF(G22&gt;=70,"جـيد",IF(G22&gt;=60,"متوسط",IF(G22&gt;=50,"مقبول","راسب")))))</f>
        <v>0</v>
      </c>
      <c r="X22" s="5">
        <f>IF(H22&gt;=90,"امتياز",IF(H22&gt;=80,"جـيد جدا",IF(H22&gt;=70,"جـيد",IF(H22&gt;=60,"متوسط",IF(H22&gt;=50,"مقبول","راسب")))))</f>
        <v>0</v>
      </c>
      <c r="Y22" s="5">
        <f>IF(I22&gt;=90,"امتياز",IF(I22&gt;=80,"جـيد جدا",IF(I22&gt;=70,"جـيد",IF(I22&gt;=60,"متوسط",IF(I22&gt;=50,"مقبول","راسب")))))</f>
        <v>0</v>
      </c>
      <c r="Z22" s="5">
        <f>IF(J22&gt;=90,"امتياز",IF(J22&gt;=80,"جـيد جدا",IF(J22&gt;=70,"جـيد",IF(J22&gt;=60,"متوسط",IF(J22&gt;=50,"مقبول","راسب")))))</f>
        <v>0</v>
      </c>
      <c r="AA22" s="5">
        <f>IF(K22&gt;=90,"امتياز",IF(K22&gt;=80,"جـيد جدا",IF(K22&gt;=70,"جـيد",IF(K22&gt;=60,"متوسط",IF(K22&gt;=50,"مقبول","راسب")))))</f>
        <v>0</v>
      </c>
      <c r="AB22" s="5">
        <f>IF(L22&gt;=90,"امتياز",IF(L22&gt;=80,"جـيد جدا",IF(L22&gt;=70,"جـيد",IF(L22&gt;=60,"متوسط",IF(L22&gt;=50,"مقبول","راسب")))))</f>
        <v>0</v>
      </c>
      <c r="AC22" s="5">
        <f>IF(M22&gt;=90,"امتياز",IF(M22&gt;=80,"جـيد جدا",IF(M22&gt;=70,"جـيد",IF(M22&gt;=60,"متوسط",IF(M22&gt;=50,"مقبول","راسب")))))</f>
        <v>0</v>
      </c>
      <c r="AD22" s="5">
        <f>IF(N22&gt;=90,"امتياز",IF(N22&gt;=80,"جـيد جدا",IF(N22&gt;=70,"جـيد",IF(N22&gt;=60,"متوسط",IF(N22&gt;=50,"مقبول","راسب")))))</f>
        <v>0</v>
      </c>
      <c r="AE22" s="5">
        <f>MasterSheet!AA72</f>
        <v>0</v>
      </c>
      <c r="AF22" s="5">
        <f>MasterSheet!AB72</f>
        <v>0</v>
      </c>
      <c r="AG22" s="5">
        <f>MasterSheet!AC72</f>
        <v>0</v>
      </c>
      <c r="AL22" s="5">
        <f>IF(D22 &gt;=50,"P","F")</f>
        <v>0</v>
      </c>
      <c r="AM22" s="5">
        <f>IF(E22 &gt;=50,"P","F")</f>
        <v>0</v>
      </c>
      <c r="AN22" s="5">
        <f>IF(F22 &gt;=50,"P","F")</f>
        <v>0</v>
      </c>
      <c r="AO22" s="5">
        <f>IF(G22 &gt;=50,"P","F")</f>
        <v>0</v>
      </c>
      <c r="AP22" s="5">
        <f>IF(H22 &gt;=50,"P","F")</f>
        <v>0</v>
      </c>
      <c r="AQ22" s="5">
        <f>IF(I22 &gt;=50,"P","F")</f>
        <v>0</v>
      </c>
      <c r="AR22" s="5">
        <f>IF(J22 &gt;=50,"P","F")</f>
        <v>0</v>
      </c>
      <c r="AS22" s="5">
        <f>IF(K22 &gt;=50,"P","F")</f>
        <v>0</v>
      </c>
      <c r="AT22" s="5">
        <f>IF(L22 &gt;=50,"P","F")</f>
        <v>0</v>
      </c>
      <c r="AU22" s="5">
        <f>IF(M22 &gt;=50,"P","F")</f>
        <v>0</v>
      </c>
      <c r="AV22" s="5">
        <f>IF(N22 &gt;=50,"P","F")</f>
        <v>0</v>
      </c>
      <c r="AW22" s="5">
        <f>IF(AND(N22&gt;=50,N22&gt;=50,F22&gt;=50,G22&gt;=50,H22&gt;=50,I22&gt;=50,J22&gt;=50,K22&gt;=50,L22&gt;=50,M22&gt;=50),"P","F")</f>
        <v>0</v>
      </c>
    </row>
    <row r="23" spans="1:49">
      <c r="A23" s="5">
        <f>MasterSheet!B75</f>
        <v>0</v>
      </c>
      <c r="B23" s="5">
        <f>MasterSheet!C75</f>
        <v>0</v>
      </c>
      <c r="C23" s="5">
        <f>MasterSheet!D75</f>
        <v>0</v>
      </c>
      <c r="D23" s="5">
        <f>MasterSheet!E75</f>
        <v>0</v>
      </c>
      <c r="E23" s="5">
        <f>MasterSheet!G75</f>
        <v>0</v>
      </c>
      <c r="F23" s="5">
        <f>MasterSheet!I75</f>
        <v>0</v>
      </c>
      <c r="G23" s="5">
        <f>MasterSheet!K75</f>
        <v>0</v>
      </c>
      <c r="H23" s="5">
        <f>MasterSheet!M75</f>
        <v>0</v>
      </c>
      <c r="I23" s="5">
        <f>MasterSheet!O75</f>
        <v>0</v>
      </c>
      <c r="J23" s="5">
        <f>MasterSheet!Q75</f>
        <v>0</v>
      </c>
      <c r="K23" s="5">
        <f>MasterSheet!S75</f>
        <v>0</v>
      </c>
      <c r="L23" s="5">
        <f>MasterSheet!U75</f>
        <v>0</v>
      </c>
      <c r="M23" s="5">
        <f>MasterSheet!W75</f>
        <v>0</v>
      </c>
      <c r="N23" s="5">
        <f>MasterSheet!Y75</f>
        <v>0</v>
      </c>
      <c r="O23" s="5">
        <f>MasterSheet!AA75</f>
        <v>0</v>
      </c>
      <c r="P23" s="5">
        <f>MasterSheet!AB75</f>
        <v>0</v>
      </c>
      <c r="Q23" s="5">
        <f>MasterSheet!AC75</f>
        <v>0</v>
      </c>
      <c r="R23" s="5">
        <f>A23</f>
        <v>0</v>
      </c>
      <c r="S23" s="5">
        <f>B23</f>
        <v>0</v>
      </c>
      <c r="T23" s="5">
        <f>IF(D23&gt;=90,"امتياز",IF(D23&gt;=80,"جـيد جدا",IF(D23&gt;=70,"جـيد",IF(D23&gt;=60,"متوسط",IF(D23&gt;=50,"مقبول","راسب")))))</f>
        <v>0</v>
      </c>
      <c r="U23" s="5">
        <f>IF(E23&gt;=90,"امتياز",IF(E23&gt;=80,"جـيد جدا",IF(E23&gt;=70,"جـيد",IF(E23&gt;=60,"متوسط",IF(E23&gt;=50,"مقبول","راسب")))))</f>
        <v>0</v>
      </c>
      <c r="V23" s="5">
        <f>IF(F23&gt;=90,"امتياز",IF(F23&gt;=80,"جـيد جدا",IF(F23&gt;=70,"جـيد",IF(F23&gt;=60,"متوسط",IF(F23&gt;=50,"مقبول","راسب")))))</f>
        <v>0</v>
      </c>
      <c r="W23" s="5">
        <f>IF(G23&gt;=90,"امتياز",IF(G23&gt;=80,"جـيد جدا",IF(G23&gt;=70,"جـيد",IF(G23&gt;=60,"متوسط",IF(G23&gt;=50,"مقبول","راسب")))))</f>
        <v>0</v>
      </c>
      <c r="X23" s="5">
        <f>IF(H23&gt;=90,"امتياز",IF(H23&gt;=80,"جـيد جدا",IF(H23&gt;=70,"جـيد",IF(H23&gt;=60,"متوسط",IF(H23&gt;=50,"مقبول","راسب")))))</f>
        <v>0</v>
      </c>
      <c r="Y23" s="5">
        <f>IF(I23&gt;=90,"امتياز",IF(I23&gt;=80,"جـيد جدا",IF(I23&gt;=70,"جـيد",IF(I23&gt;=60,"متوسط",IF(I23&gt;=50,"مقبول","راسب")))))</f>
        <v>0</v>
      </c>
      <c r="Z23" s="5">
        <f>IF(J23&gt;=90,"امتياز",IF(J23&gt;=80,"جـيد جدا",IF(J23&gt;=70,"جـيد",IF(J23&gt;=60,"متوسط",IF(J23&gt;=50,"مقبول","راسب")))))</f>
        <v>0</v>
      </c>
      <c r="AA23" s="5">
        <f>IF(K23&gt;=90,"امتياز",IF(K23&gt;=80,"جـيد جدا",IF(K23&gt;=70,"جـيد",IF(K23&gt;=60,"متوسط",IF(K23&gt;=50,"مقبول","راسب")))))</f>
        <v>0</v>
      </c>
      <c r="AB23" s="5">
        <f>IF(L23&gt;=90,"امتياز",IF(L23&gt;=80,"جـيد جدا",IF(L23&gt;=70,"جـيد",IF(L23&gt;=60,"متوسط",IF(L23&gt;=50,"مقبول","راسب")))))</f>
        <v>0</v>
      </c>
      <c r="AC23" s="5">
        <f>IF(M23&gt;=90,"امتياز",IF(M23&gt;=80,"جـيد جدا",IF(M23&gt;=70,"جـيد",IF(M23&gt;=60,"متوسط",IF(M23&gt;=50,"مقبول","راسب")))))</f>
        <v>0</v>
      </c>
      <c r="AD23" s="5">
        <f>IF(N23&gt;=90,"امتياز",IF(N23&gt;=80,"جـيد جدا",IF(N23&gt;=70,"جـيد",IF(N23&gt;=60,"متوسط",IF(N23&gt;=50,"مقبول","راسب")))))</f>
        <v>0</v>
      </c>
      <c r="AE23" s="5">
        <f>MasterSheet!AA75</f>
        <v>0</v>
      </c>
      <c r="AF23" s="5">
        <f>MasterSheet!AB75</f>
        <v>0</v>
      </c>
      <c r="AG23" s="5">
        <f>MasterSheet!AC75</f>
        <v>0</v>
      </c>
      <c r="AL23" s="5">
        <f>IF(D23 &gt;=50,"P","F")</f>
        <v>0</v>
      </c>
      <c r="AM23" s="5">
        <f>IF(E23 &gt;=50,"P","F")</f>
        <v>0</v>
      </c>
      <c r="AN23" s="5">
        <f>IF(F23 &gt;=50,"P","F")</f>
        <v>0</v>
      </c>
      <c r="AO23" s="5">
        <f>IF(G23 &gt;=50,"P","F")</f>
        <v>0</v>
      </c>
      <c r="AP23" s="5">
        <f>IF(H23 &gt;=50,"P","F")</f>
        <v>0</v>
      </c>
      <c r="AQ23" s="5">
        <f>IF(I23 &gt;=50,"P","F")</f>
        <v>0</v>
      </c>
      <c r="AR23" s="5">
        <f>IF(J23 &gt;=50,"P","F")</f>
        <v>0</v>
      </c>
      <c r="AS23" s="5">
        <f>IF(K23 &gt;=50,"P","F")</f>
        <v>0</v>
      </c>
      <c r="AT23" s="5">
        <f>IF(L23 &gt;=50,"P","F")</f>
        <v>0</v>
      </c>
      <c r="AU23" s="5">
        <f>IF(M23 &gt;=50,"P","F")</f>
        <v>0</v>
      </c>
      <c r="AV23" s="5">
        <f>IF(N23 &gt;=50,"P","F")</f>
        <v>0</v>
      </c>
      <c r="AW23" s="5">
        <f>IF(AND(N23&gt;=50,N23&gt;=50,F23&gt;=50,G23&gt;=50,H23&gt;=50,I23&gt;=50,J23&gt;=50,K23&gt;=50,L23&gt;=50,M23&gt;=50),"P","F")</f>
        <v>0</v>
      </c>
    </row>
    <row r="24" spans="1:49">
      <c r="A24" s="5">
        <f>MasterSheet!B78</f>
        <v>0</v>
      </c>
      <c r="B24" s="5">
        <f>MasterSheet!C78</f>
        <v>0</v>
      </c>
      <c r="C24" s="5">
        <f>MasterSheet!D78</f>
        <v>0</v>
      </c>
      <c r="D24" s="5">
        <f>MasterSheet!E78</f>
        <v>0</v>
      </c>
      <c r="E24" s="5">
        <f>MasterSheet!G78</f>
        <v>0</v>
      </c>
      <c r="F24" s="5">
        <f>MasterSheet!I78</f>
        <v>0</v>
      </c>
      <c r="G24" s="5">
        <f>MasterSheet!K78</f>
        <v>0</v>
      </c>
      <c r="H24" s="5">
        <f>MasterSheet!M78</f>
        <v>0</v>
      </c>
      <c r="I24" s="5">
        <f>MasterSheet!O78</f>
        <v>0</v>
      </c>
      <c r="J24" s="5">
        <f>MasterSheet!Q78</f>
        <v>0</v>
      </c>
      <c r="K24" s="5">
        <f>MasterSheet!S78</f>
        <v>0</v>
      </c>
      <c r="L24" s="5">
        <f>MasterSheet!U78</f>
        <v>0</v>
      </c>
      <c r="M24" s="5">
        <f>MasterSheet!W78</f>
        <v>0</v>
      </c>
      <c r="N24" s="5">
        <f>MasterSheet!Y78</f>
        <v>0</v>
      </c>
      <c r="O24" s="5">
        <f>MasterSheet!AA78</f>
        <v>0</v>
      </c>
      <c r="P24" s="5">
        <f>MasterSheet!AB78</f>
        <v>0</v>
      </c>
      <c r="Q24" s="5">
        <f>MasterSheet!AC78</f>
        <v>0</v>
      </c>
      <c r="R24" s="5">
        <f>A24</f>
        <v>0</v>
      </c>
      <c r="S24" s="5">
        <f>B24</f>
        <v>0</v>
      </c>
      <c r="T24" s="5">
        <f>IF(D24&gt;=90,"امتياز",IF(D24&gt;=80,"جـيد جدا",IF(D24&gt;=70,"جـيد",IF(D24&gt;=60,"متوسط",IF(D24&gt;=50,"مقبول","راسب")))))</f>
        <v>0</v>
      </c>
      <c r="U24" s="5">
        <f>IF(E24&gt;=90,"امتياز",IF(E24&gt;=80,"جـيد جدا",IF(E24&gt;=70,"جـيد",IF(E24&gt;=60,"متوسط",IF(E24&gt;=50,"مقبول","راسب")))))</f>
        <v>0</v>
      </c>
      <c r="V24" s="5">
        <f>IF(F24&gt;=90,"امتياز",IF(F24&gt;=80,"جـيد جدا",IF(F24&gt;=70,"جـيد",IF(F24&gt;=60,"متوسط",IF(F24&gt;=50,"مقبول","راسب")))))</f>
        <v>0</v>
      </c>
      <c r="W24" s="5">
        <f>IF(G24&gt;=90,"امتياز",IF(G24&gt;=80,"جـيد جدا",IF(G24&gt;=70,"جـيد",IF(G24&gt;=60,"متوسط",IF(G24&gt;=50,"مقبول","راسب")))))</f>
        <v>0</v>
      </c>
      <c r="X24" s="5">
        <f>IF(H24&gt;=90,"امتياز",IF(H24&gt;=80,"جـيد جدا",IF(H24&gt;=70,"جـيد",IF(H24&gt;=60,"متوسط",IF(H24&gt;=50,"مقبول","راسب")))))</f>
        <v>0</v>
      </c>
      <c r="Y24" s="5">
        <f>IF(I24&gt;=90,"امتياز",IF(I24&gt;=80,"جـيد جدا",IF(I24&gt;=70,"جـيد",IF(I24&gt;=60,"متوسط",IF(I24&gt;=50,"مقبول","راسب")))))</f>
        <v>0</v>
      </c>
      <c r="Z24" s="5">
        <f>IF(J24&gt;=90,"امتياز",IF(J24&gt;=80,"جـيد جدا",IF(J24&gt;=70,"جـيد",IF(J24&gt;=60,"متوسط",IF(J24&gt;=50,"مقبول","راسب")))))</f>
        <v>0</v>
      </c>
      <c r="AA24" s="5">
        <f>IF(K24&gt;=90,"امتياز",IF(K24&gt;=80,"جـيد جدا",IF(K24&gt;=70,"جـيد",IF(K24&gt;=60,"متوسط",IF(K24&gt;=50,"مقبول","راسب")))))</f>
        <v>0</v>
      </c>
      <c r="AB24" s="5">
        <f>IF(L24&gt;=90,"امتياز",IF(L24&gt;=80,"جـيد جدا",IF(L24&gt;=70,"جـيد",IF(L24&gt;=60,"متوسط",IF(L24&gt;=50,"مقبول","راسب")))))</f>
        <v>0</v>
      </c>
      <c r="AC24" s="5">
        <f>IF(M24&gt;=90,"امتياز",IF(M24&gt;=80,"جـيد جدا",IF(M24&gt;=70,"جـيد",IF(M24&gt;=60,"متوسط",IF(M24&gt;=50,"مقبول","راسب")))))</f>
        <v>0</v>
      </c>
      <c r="AD24" s="5">
        <f>IF(N24&gt;=90,"امتياز",IF(N24&gt;=80,"جـيد جدا",IF(N24&gt;=70,"جـيد",IF(N24&gt;=60,"متوسط",IF(N24&gt;=50,"مقبول","راسب")))))</f>
        <v>0</v>
      </c>
      <c r="AE24" s="5">
        <f>MasterSheet!AA78</f>
        <v>0</v>
      </c>
      <c r="AF24" s="5">
        <f>MasterSheet!AB78</f>
        <v>0</v>
      </c>
      <c r="AG24" s="5">
        <f>MasterSheet!AC78</f>
        <v>0</v>
      </c>
      <c r="AL24" s="5">
        <f>IF(D24 &gt;=50,"P","F")</f>
        <v>0</v>
      </c>
      <c r="AM24" s="5">
        <f>IF(E24 &gt;=50,"P","F")</f>
        <v>0</v>
      </c>
      <c r="AN24" s="5">
        <f>IF(F24 &gt;=50,"P","F")</f>
        <v>0</v>
      </c>
      <c r="AO24" s="5">
        <f>IF(G24 &gt;=50,"P","F")</f>
        <v>0</v>
      </c>
      <c r="AP24" s="5">
        <f>IF(H24 &gt;=50,"P","F")</f>
        <v>0</v>
      </c>
      <c r="AQ24" s="5">
        <f>IF(I24 &gt;=50,"P","F")</f>
        <v>0</v>
      </c>
      <c r="AR24" s="5">
        <f>IF(J24 &gt;=50,"P","F")</f>
        <v>0</v>
      </c>
      <c r="AS24" s="5">
        <f>IF(K24 &gt;=50,"P","F")</f>
        <v>0</v>
      </c>
      <c r="AT24" s="5">
        <f>IF(L24 &gt;=50,"P","F")</f>
        <v>0</v>
      </c>
      <c r="AU24" s="5">
        <f>IF(M24 &gt;=50,"P","F")</f>
        <v>0</v>
      </c>
      <c r="AV24" s="5">
        <f>IF(N24 &gt;=50,"P","F")</f>
        <v>0</v>
      </c>
      <c r="AW24" s="5">
        <f>IF(AND(N24&gt;=50,N24&gt;=50,F24&gt;=50,G24&gt;=50,H24&gt;=50,I24&gt;=50,J24&gt;=50,K24&gt;=50,L24&gt;=50,M24&gt;=50),"P","F")</f>
        <v>0</v>
      </c>
    </row>
    <row r="25" spans="1:49">
      <c r="A25" s="5">
        <f>MasterSheet!B81</f>
        <v>0</v>
      </c>
      <c r="B25" s="5">
        <f>MasterSheet!C81</f>
        <v>0</v>
      </c>
      <c r="C25" s="5">
        <f>MasterSheet!D81</f>
        <v>0</v>
      </c>
      <c r="D25" s="5">
        <f>MasterSheet!E81</f>
        <v>0</v>
      </c>
      <c r="E25" s="5">
        <f>MasterSheet!G81</f>
        <v>0</v>
      </c>
      <c r="F25" s="5">
        <f>MasterSheet!I81</f>
        <v>0</v>
      </c>
      <c r="G25" s="5">
        <f>MasterSheet!K81</f>
        <v>0</v>
      </c>
      <c r="H25" s="5">
        <f>MasterSheet!M81</f>
        <v>0</v>
      </c>
      <c r="I25" s="5">
        <f>MasterSheet!O81</f>
        <v>0</v>
      </c>
      <c r="J25" s="5">
        <f>MasterSheet!Q81</f>
        <v>0</v>
      </c>
      <c r="K25" s="5">
        <f>MasterSheet!S81</f>
        <v>0</v>
      </c>
      <c r="L25" s="5">
        <f>MasterSheet!U81</f>
        <v>0</v>
      </c>
      <c r="M25" s="5">
        <f>MasterSheet!W81</f>
        <v>0</v>
      </c>
      <c r="N25" s="5">
        <f>MasterSheet!Y81</f>
        <v>0</v>
      </c>
      <c r="O25" s="5">
        <f>MasterSheet!AA81</f>
        <v>0</v>
      </c>
      <c r="P25" s="5">
        <f>MasterSheet!AB81</f>
        <v>0</v>
      </c>
      <c r="Q25" s="5">
        <f>MasterSheet!AC81</f>
        <v>0</v>
      </c>
      <c r="R25" s="5">
        <f>A25</f>
        <v>0</v>
      </c>
      <c r="S25" s="5">
        <f>B25</f>
        <v>0</v>
      </c>
      <c r="T25" s="5">
        <f>IF(D25&gt;=90,"امتياز",IF(D25&gt;=80,"جـيد جدا",IF(D25&gt;=70,"جـيد",IF(D25&gt;=60,"متوسط",IF(D25&gt;=50,"مقبول","راسب")))))</f>
        <v>0</v>
      </c>
      <c r="U25" s="5">
        <f>IF(E25&gt;=90,"امتياز",IF(E25&gt;=80,"جـيد جدا",IF(E25&gt;=70,"جـيد",IF(E25&gt;=60,"متوسط",IF(E25&gt;=50,"مقبول","راسب")))))</f>
        <v>0</v>
      </c>
      <c r="V25" s="5">
        <f>IF(F25&gt;=90,"امتياز",IF(F25&gt;=80,"جـيد جدا",IF(F25&gt;=70,"جـيد",IF(F25&gt;=60,"متوسط",IF(F25&gt;=50,"مقبول","راسب")))))</f>
        <v>0</v>
      </c>
      <c r="W25" s="5">
        <f>IF(G25&gt;=90,"امتياز",IF(G25&gt;=80,"جـيد جدا",IF(G25&gt;=70,"جـيد",IF(G25&gt;=60,"متوسط",IF(G25&gt;=50,"مقبول","راسب")))))</f>
        <v>0</v>
      </c>
      <c r="X25" s="5">
        <f>IF(H25&gt;=90,"امتياز",IF(H25&gt;=80,"جـيد جدا",IF(H25&gt;=70,"جـيد",IF(H25&gt;=60,"متوسط",IF(H25&gt;=50,"مقبول","راسب")))))</f>
        <v>0</v>
      </c>
      <c r="Y25" s="5">
        <f>IF(I25&gt;=90,"امتياز",IF(I25&gt;=80,"جـيد جدا",IF(I25&gt;=70,"جـيد",IF(I25&gt;=60,"متوسط",IF(I25&gt;=50,"مقبول","راسب")))))</f>
        <v>0</v>
      </c>
      <c r="Z25" s="5">
        <f>IF(J25&gt;=90,"امتياز",IF(J25&gt;=80,"جـيد جدا",IF(J25&gt;=70,"جـيد",IF(J25&gt;=60,"متوسط",IF(J25&gt;=50,"مقبول","راسب")))))</f>
        <v>0</v>
      </c>
      <c r="AA25" s="5">
        <f>IF(K25&gt;=90,"امتياز",IF(K25&gt;=80,"جـيد جدا",IF(K25&gt;=70,"جـيد",IF(K25&gt;=60,"متوسط",IF(K25&gt;=50,"مقبول","راسب")))))</f>
        <v>0</v>
      </c>
      <c r="AB25" s="5">
        <f>IF(L25&gt;=90,"امتياز",IF(L25&gt;=80,"جـيد جدا",IF(L25&gt;=70,"جـيد",IF(L25&gt;=60,"متوسط",IF(L25&gt;=50,"مقبول","راسب")))))</f>
        <v>0</v>
      </c>
      <c r="AC25" s="5">
        <f>IF(M25&gt;=90,"امتياز",IF(M25&gt;=80,"جـيد جدا",IF(M25&gt;=70,"جـيد",IF(M25&gt;=60,"متوسط",IF(M25&gt;=50,"مقبول","راسب")))))</f>
        <v>0</v>
      </c>
      <c r="AD25" s="5">
        <f>IF(N25&gt;=90,"امتياز",IF(N25&gt;=80,"جـيد جدا",IF(N25&gt;=70,"جـيد",IF(N25&gt;=60,"متوسط",IF(N25&gt;=50,"مقبول","راسب")))))</f>
        <v>0</v>
      </c>
      <c r="AE25" s="5">
        <f>MasterSheet!AA81</f>
        <v>0</v>
      </c>
      <c r="AF25" s="5">
        <f>MasterSheet!AB81</f>
        <v>0</v>
      </c>
      <c r="AG25" s="5">
        <f>MasterSheet!AC81</f>
        <v>0</v>
      </c>
      <c r="AL25" s="5">
        <f>IF(D25 &gt;=50,"P","F")</f>
        <v>0</v>
      </c>
      <c r="AM25" s="5">
        <f>IF(E25 &gt;=50,"P","F")</f>
        <v>0</v>
      </c>
      <c r="AN25" s="5">
        <f>IF(F25 &gt;=50,"P","F")</f>
        <v>0</v>
      </c>
      <c r="AO25" s="5">
        <f>IF(G25 &gt;=50,"P","F")</f>
        <v>0</v>
      </c>
      <c r="AP25" s="5">
        <f>IF(H25 &gt;=50,"P","F")</f>
        <v>0</v>
      </c>
      <c r="AQ25" s="5">
        <f>IF(I25 &gt;=50,"P","F")</f>
        <v>0</v>
      </c>
      <c r="AR25" s="5">
        <f>IF(J25 &gt;=50,"P","F")</f>
        <v>0</v>
      </c>
      <c r="AS25" s="5">
        <f>IF(K25 &gt;=50,"P","F")</f>
        <v>0</v>
      </c>
      <c r="AT25" s="5">
        <f>IF(L25 &gt;=50,"P","F")</f>
        <v>0</v>
      </c>
      <c r="AU25" s="5">
        <f>IF(M25 &gt;=50,"P","F")</f>
        <v>0</v>
      </c>
      <c r="AV25" s="5">
        <f>IF(N25 &gt;=50,"P","F")</f>
        <v>0</v>
      </c>
      <c r="AW25" s="5">
        <f>IF(AND(N25&gt;=50,N25&gt;=50,F25&gt;=50,G25&gt;=50,H25&gt;=50,I25&gt;=50,J25&gt;=50,K25&gt;=50,L25&gt;=50,M25&gt;=50),"P","F")</f>
        <v>0</v>
      </c>
    </row>
    <row r="26" spans="1:49">
      <c r="A26" s="5">
        <f>MasterSheet!B84</f>
        <v>0</v>
      </c>
      <c r="B26" s="5">
        <f>MasterSheet!C84</f>
        <v>0</v>
      </c>
      <c r="C26" s="5">
        <f>MasterSheet!D84</f>
        <v>0</v>
      </c>
      <c r="D26" s="5">
        <f>MasterSheet!E84</f>
        <v>0</v>
      </c>
      <c r="E26" s="5">
        <f>MasterSheet!G84</f>
        <v>0</v>
      </c>
      <c r="F26" s="5">
        <f>MasterSheet!I84</f>
        <v>0</v>
      </c>
      <c r="G26" s="5">
        <f>MasterSheet!K84</f>
        <v>0</v>
      </c>
      <c r="H26" s="5">
        <f>MasterSheet!M84</f>
        <v>0</v>
      </c>
      <c r="I26" s="5">
        <f>MasterSheet!O84</f>
        <v>0</v>
      </c>
      <c r="J26" s="5">
        <f>MasterSheet!Q84</f>
        <v>0</v>
      </c>
      <c r="K26" s="5">
        <f>MasterSheet!S84</f>
        <v>0</v>
      </c>
      <c r="L26" s="5">
        <f>MasterSheet!U84</f>
        <v>0</v>
      </c>
      <c r="M26" s="5">
        <f>MasterSheet!W84</f>
        <v>0</v>
      </c>
      <c r="N26" s="5">
        <f>MasterSheet!Y84</f>
        <v>0</v>
      </c>
      <c r="O26" s="5">
        <f>MasterSheet!AA84</f>
        <v>0</v>
      </c>
      <c r="P26" s="5">
        <f>MasterSheet!AB84</f>
        <v>0</v>
      </c>
      <c r="Q26" s="5">
        <f>MasterSheet!AC84</f>
        <v>0</v>
      </c>
      <c r="R26" s="5">
        <f>A26</f>
        <v>0</v>
      </c>
      <c r="S26" s="5">
        <f>B26</f>
        <v>0</v>
      </c>
      <c r="T26" s="5">
        <f>IF(D26&gt;=90,"امتياز",IF(D26&gt;=80,"جـيد جدا",IF(D26&gt;=70,"جـيد",IF(D26&gt;=60,"متوسط",IF(D26&gt;=50,"مقبول","راسب")))))</f>
        <v>0</v>
      </c>
      <c r="U26" s="5">
        <f>IF(E26&gt;=90,"امتياز",IF(E26&gt;=80,"جـيد جدا",IF(E26&gt;=70,"جـيد",IF(E26&gt;=60,"متوسط",IF(E26&gt;=50,"مقبول","راسب")))))</f>
        <v>0</v>
      </c>
      <c r="V26" s="5">
        <f>IF(F26&gt;=90,"امتياز",IF(F26&gt;=80,"جـيد جدا",IF(F26&gt;=70,"جـيد",IF(F26&gt;=60,"متوسط",IF(F26&gt;=50,"مقبول","راسب")))))</f>
        <v>0</v>
      </c>
      <c r="W26" s="5">
        <f>IF(G26&gt;=90,"امتياز",IF(G26&gt;=80,"جـيد جدا",IF(G26&gt;=70,"جـيد",IF(G26&gt;=60,"متوسط",IF(G26&gt;=50,"مقبول","راسب")))))</f>
        <v>0</v>
      </c>
      <c r="X26" s="5">
        <f>IF(H26&gt;=90,"امتياز",IF(H26&gt;=80,"جـيد جدا",IF(H26&gt;=70,"جـيد",IF(H26&gt;=60,"متوسط",IF(H26&gt;=50,"مقبول","راسب")))))</f>
        <v>0</v>
      </c>
      <c r="Y26" s="5">
        <f>IF(I26&gt;=90,"امتياز",IF(I26&gt;=80,"جـيد جدا",IF(I26&gt;=70,"جـيد",IF(I26&gt;=60,"متوسط",IF(I26&gt;=50,"مقبول","راسب")))))</f>
        <v>0</v>
      </c>
      <c r="Z26" s="5">
        <f>IF(J26&gt;=90,"امتياز",IF(J26&gt;=80,"جـيد جدا",IF(J26&gt;=70,"جـيد",IF(J26&gt;=60,"متوسط",IF(J26&gt;=50,"مقبول","راسب")))))</f>
        <v>0</v>
      </c>
      <c r="AA26" s="5">
        <f>IF(K26&gt;=90,"امتياز",IF(K26&gt;=80,"جـيد جدا",IF(K26&gt;=70,"جـيد",IF(K26&gt;=60,"متوسط",IF(K26&gt;=50,"مقبول","راسب")))))</f>
        <v>0</v>
      </c>
      <c r="AB26" s="5">
        <f>IF(L26&gt;=90,"امتياز",IF(L26&gt;=80,"جـيد جدا",IF(L26&gt;=70,"جـيد",IF(L26&gt;=60,"متوسط",IF(L26&gt;=50,"مقبول","راسب")))))</f>
        <v>0</v>
      </c>
      <c r="AC26" s="5">
        <f>IF(M26&gt;=90,"امتياز",IF(M26&gt;=80,"جـيد جدا",IF(M26&gt;=70,"جـيد",IF(M26&gt;=60,"متوسط",IF(M26&gt;=50,"مقبول","راسب")))))</f>
        <v>0</v>
      </c>
      <c r="AD26" s="5">
        <f>IF(N26&gt;=90,"امتياز",IF(N26&gt;=80,"جـيد جدا",IF(N26&gt;=70,"جـيد",IF(N26&gt;=60,"متوسط",IF(N26&gt;=50,"مقبول","راسب")))))</f>
        <v>0</v>
      </c>
      <c r="AE26" s="5">
        <f>MasterSheet!AA84</f>
        <v>0</v>
      </c>
      <c r="AF26" s="5">
        <f>MasterSheet!AB84</f>
        <v>0</v>
      </c>
      <c r="AG26" s="5">
        <f>MasterSheet!AC84</f>
        <v>0</v>
      </c>
      <c r="AL26" s="5">
        <f>IF(D26 &gt;=50,"P","F")</f>
        <v>0</v>
      </c>
      <c r="AM26" s="5">
        <f>IF(E26 &gt;=50,"P","F")</f>
        <v>0</v>
      </c>
      <c r="AN26" s="5">
        <f>IF(F26 &gt;=50,"P","F")</f>
        <v>0</v>
      </c>
      <c r="AO26" s="5">
        <f>IF(G26 &gt;=50,"P","F")</f>
        <v>0</v>
      </c>
      <c r="AP26" s="5">
        <f>IF(H26 &gt;=50,"P","F")</f>
        <v>0</v>
      </c>
      <c r="AQ26" s="5">
        <f>IF(I26 &gt;=50,"P","F")</f>
        <v>0</v>
      </c>
      <c r="AR26" s="5">
        <f>IF(J26 &gt;=50,"P","F")</f>
        <v>0</v>
      </c>
      <c r="AS26" s="5">
        <f>IF(K26 &gt;=50,"P","F")</f>
        <v>0</v>
      </c>
      <c r="AT26" s="5">
        <f>IF(L26 &gt;=50,"P","F")</f>
        <v>0</v>
      </c>
      <c r="AU26" s="5">
        <f>IF(M26 &gt;=50,"P","F")</f>
        <v>0</v>
      </c>
      <c r="AV26" s="5">
        <f>IF(N26 &gt;=50,"P","F")</f>
        <v>0</v>
      </c>
      <c r="AW26" s="5">
        <f>IF(AND(N26&gt;=50,N26&gt;=50,F26&gt;=50,G26&gt;=50,H26&gt;=50,I26&gt;=50,J26&gt;=50,K26&gt;=50,L26&gt;=50,M26&gt;=50),"P","F")</f>
        <v>0</v>
      </c>
    </row>
    <row r="27" spans="1:49">
      <c r="A27" s="5">
        <f>MasterSheet!B107</f>
        <v>0</v>
      </c>
      <c r="B27" s="5">
        <f>MasterSheet!C107</f>
        <v>0</v>
      </c>
      <c r="C27" s="5">
        <f>MasterSheet!D107</f>
        <v>0</v>
      </c>
      <c r="D27" s="5">
        <f>MasterSheet!E107</f>
        <v>0</v>
      </c>
      <c r="E27" s="5">
        <f>MasterSheet!G107</f>
        <v>0</v>
      </c>
      <c r="F27" s="5">
        <f>MasterSheet!I107</f>
        <v>0</v>
      </c>
      <c r="G27" s="5">
        <f>MasterSheet!K107</f>
        <v>0</v>
      </c>
      <c r="H27" s="5">
        <f>MasterSheet!M107</f>
        <v>0</v>
      </c>
      <c r="I27" s="5">
        <f>MasterSheet!O107</f>
        <v>0</v>
      </c>
      <c r="J27" s="5">
        <f>MasterSheet!Q107</f>
        <v>0</v>
      </c>
      <c r="K27" s="5">
        <f>MasterSheet!S107</f>
        <v>0</v>
      </c>
      <c r="L27" s="5">
        <f>MasterSheet!U107</f>
        <v>0</v>
      </c>
      <c r="M27" s="5">
        <f>MasterSheet!W107</f>
        <v>0</v>
      </c>
      <c r="N27" s="5">
        <f>MasterSheet!Y107</f>
        <v>0</v>
      </c>
      <c r="O27" s="5">
        <f>MasterSheet!AA107</f>
        <v>0</v>
      </c>
      <c r="P27" s="5">
        <f>MasterSheet!AB107</f>
        <v>0</v>
      </c>
      <c r="Q27" s="5">
        <f>MasterSheet!AC107</f>
        <v>0</v>
      </c>
      <c r="R27" s="5">
        <f>A27</f>
        <v>0</v>
      </c>
      <c r="S27" s="5">
        <f>B27</f>
        <v>0</v>
      </c>
      <c r="T27" s="5">
        <f>IF(D27&gt;=90,"امتياز",IF(D27&gt;=80,"جـيد جدا",IF(D27&gt;=70,"جـيد",IF(D27&gt;=60,"متوسط",IF(D27&gt;=50,"مقبول","راسب")))))</f>
        <v>0</v>
      </c>
      <c r="U27" s="5">
        <f>IF(E27&gt;=90,"امتياز",IF(E27&gt;=80,"جـيد جدا",IF(E27&gt;=70,"جـيد",IF(E27&gt;=60,"متوسط",IF(E27&gt;=50,"مقبول","راسب")))))</f>
        <v>0</v>
      </c>
      <c r="V27" s="5">
        <f>IF(F27&gt;=90,"امتياز",IF(F27&gt;=80,"جـيد جدا",IF(F27&gt;=70,"جـيد",IF(F27&gt;=60,"متوسط",IF(F27&gt;=50,"مقبول","راسب")))))</f>
        <v>0</v>
      </c>
      <c r="W27" s="5">
        <f>IF(G27&gt;=90,"امتياز",IF(G27&gt;=80,"جـيد جدا",IF(G27&gt;=70,"جـيد",IF(G27&gt;=60,"متوسط",IF(G27&gt;=50,"مقبول","راسب")))))</f>
        <v>0</v>
      </c>
      <c r="X27" s="5">
        <f>IF(H27&gt;=90,"امتياز",IF(H27&gt;=80,"جـيد جدا",IF(H27&gt;=70,"جـيد",IF(H27&gt;=60,"متوسط",IF(H27&gt;=50,"مقبول","راسب")))))</f>
        <v>0</v>
      </c>
      <c r="Y27" s="5">
        <f>IF(I27&gt;=90,"امتياز",IF(I27&gt;=80,"جـيد جدا",IF(I27&gt;=70,"جـيد",IF(I27&gt;=60,"متوسط",IF(I27&gt;=50,"مقبول","راسب")))))</f>
        <v>0</v>
      </c>
      <c r="Z27" s="5">
        <f>IF(J27&gt;=90,"امتياز",IF(J27&gt;=80,"جـيد جدا",IF(J27&gt;=70,"جـيد",IF(J27&gt;=60,"متوسط",IF(J27&gt;=50,"مقبول","راسب")))))</f>
        <v>0</v>
      </c>
      <c r="AA27" s="5">
        <f>IF(K27&gt;=90,"امتياز",IF(K27&gt;=80,"جـيد جدا",IF(K27&gt;=70,"جـيد",IF(K27&gt;=60,"متوسط",IF(K27&gt;=50,"مقبول","راسب")))))</f>
        <v>0</v>
      </c>
      <c r="AB27" s="5">
        <f>IF(L27&gt;=90,"امتياز",IF(L27&gt;=80,"جـيد جدا",IF(L27&gt;=70,"جـيد",IF(L27&gt;=60,"متوسط",IF(L27&gt;=50,"مقبول","راسب")))))</f>
        <v>0</v>
      </c>
      <c r="AC27" s="5">
        <f>IF(M27&gt;=90,"امتياز",IF(M27&gt;=80,"جـيد جدا",IF(M27&gt;=70,"جـيد",IF(M27&gt;=60,"متوسط",IF(M27&gt;=50,"مقبول","راسب")))))</f>
        <v>0</v>
      </c>
      <c r="AD27" s="5">
        <f>IF(N27&gt;=90,"امتياز",IF(N27&gt;=80,"جـيد جدا",IF(N27&gt;=70,"جـيد",IF(N27&gt;=60,"متوسط",IF(N27&gt;=50,"مقبول","راسب")))))</f>
        <v>0</v>
      </c>
      <c r="AE27" s="5">
        <f>MasterSheet!AA107</f>
        <v>0</v>
      </c>
      <c r="AF27" s="5">
        <f>MasterSheet!AB107</f>
        <v>0</v>
      </c>
      <c r="AG27" s="5">
        <f>MasterSheet!AC107</f>
        <v>0</v>
      </c>
      <c r="AL27" s="5">
        <f>IF(D27 &gt;=50,"P","F")</f>
        <v>0</v>
      </c>
      <c r="AM27" s="5">
        <f>IF(E27 &gt;=50,"P","F")</f>
        <v>0</v>
      </c>
      <c r="AN27" s="5">
        <f>IF(F27 &gt;=50,"P","F")</f>
        <v>0</v>
      </c>
      <c r="AO27" s="5">
        <f>IF(G27 &gt;=50,"P","F")</f>
        <v>0</v>
      </c>
      <c r="AP27" s="5">
        <f>IF(H27 &gt;=50,"P","F")</f>
        <v>0</v>
      </c>
      <c r="AQ27" s="5">
        <f>IF(I27 &gt;=50,"P","F")</f>
        <v>0</v>
      </c>
      <c r="AR27" s="5">
        <f>IF(J27 &gt;=50,"P","F")</f>
        <v>0</v>
      </c>
      <c r="AS27" s="5">
        <f>IF(K27 &gt;=50,"P","F")</f>
        <v>0</v>
      </c>
      <c r="AT27" s="5">
        <f>IF(L27 &gt;=50,"P","F")</f>
        <v>0</v>
      </c>
      <c r="AU27" s="5">
        <f>IF(M27 &gt;=50,"P","F")</f>
        <v>0</v>
      </c>
      <c r="AV27" s="5">
        <f>IF(N27 &gt;=50,"P","F")</f>
        <v>0</v>
      </c>
      <c r="AW27" s="5">
        <f>IF(AND(N27&gt;=50,N27&gt;=50,F27&gt;=50,G27&gt;=50,H27&gt;=50,I27&gt;=50,J27&gt;=50,K27&gt;=50,L27&gt;=50,M27&gt;=50),"P","F")</f>
        <v>0</v>
      </c>
    </row>
    <row r="28" spans="1:49">
      <c r="A28" s="5">
        <f>MasterSheet!B110</f>
        <v>0</v>
      </c>
      <c r="B28" s="5">
        <f>MasterSheet!C110</f>
        <v>0</v>
      </c>
      <c r="C28" s="5">
        <f>MasterSheet!D110</f>
        <v>0</v>
      </c>
      <c r="D28" s="5">
        <f>MasterSheet!E110</f>
        <v>0</v>
      </c>
      <c r="E28" s="5">
        <f>MasterSheet!G110</f>
        <v>0</v>
      </c>
      <c r="F28" s="5">
        <f>MasterSheet!I110</f>
        <v>0</v>
      </c>
      <c r="G28" s="5">
        <f>MasterSheet!K110</f>
        <v>0</v>
      </c>
      <c r="H28" s="5">
        <f>MasterSheet!M110</f>
        <v>0</v>
      </c>
      <c r="I28" s="5">
        <f>MasterSheet!O110</f>
        <v>0</v>
      </c>
      <c r="J28" s="5">
        <f>MasterSheet!Q110</f>
        <v>0</v>
      </c>
      <c r="K28" s="5">
        <f>MasterSheet!S110</f>
        <v>0</v>
      </c>
      <c r="L28" s="5">
        <f>MasterSheet!U110</f>
        <v>0</v>
      </c>
      <c r="M28" s="5">
        <f>MasterSheet!W110</f>
        <v>0</v>
      </c>
      <c r="N28" s="5">
        <f>MasterSheet!Y110</f>
        <v>0</v>
      </c>
      <c r="O28" s="5">
        <f>MasterSheet!AA110</f>
        <v>0</v>
      </c>
      <c r="P28" s="5">
        <f>MasterSheet!AB110</f>
        <v>0</v>
      </c>
      <c r="Q28" s="5">
        <f>MasterSheet!AC110</f>
        <v>0</v>
      </c>
      <c r="R28" s="5">
        <f>A28</f>
        <v>0</v>
      </c>
      <c r="S28" s="5">
        <f>B28</f>
        <v>0</v>
      </c>
      <c r="T28" s="5">
        <f>IF(D28&gt;=90,"امتياز",IF(D28&gt;=80,"جـيد جدا",IF(D28&gt;=70,"جـيد",IF(D28&gt;=60,"متوسط",IF(D28&gt;=50,"مقبول","راسب")))))</f>
        <v>0</v>
      </c>
      <c r="U28" s="5">
        <f>IF(E28&gt;=90,"امتياز",IF(E28&gt;=80,"جـيد جدا",IF(E28&gt;=70,"جـيد",IF(E28&gt;=60,"متوسط",IF(E28&gt;=50,"مقبول","راسب")))))</f>
        <v>0</v>
      </c>
      <c r="V28" s="5">
        <f>IF(F28&gt;=90,"امتياز",IF(F28&gt;=80,"جـيد جدا",IF(F28&gt;=70,"جـيد",IF(F28&gt;=60,"متوسط",IF(F28&gt;=50,"مقبول","راسب")))))</f>
        <v>0</v>
      </c>
      <c r="W28" s="5">
        <f>IF(G28&gt;=90,"امتياز",IF(G28&gt;=80,"جـيد جدا",IF(G28&gt;=70,"جـيد",IF(G28&gt;=60,"متوسط",IF(G28&gt;=50,"مقبول","راسب")))))</f>
        <v>0</v>
      </c>
      <c r="X28" s="5">
        <f>IF(H28&gt;=90,"امتياز",IF(H28&gt;=80,"جـيد جدا",IF(H28&gt;=70,"جـيد",IF(H28&gt;=60,"متوسط",IF(H28&gt;=50,"مقبول","راسب")))))</f>
        <v>0</v>
      </c>
      <c r="Y28" s="5">
        <f>IF(I28&gt;=90,"امتياز",IF(I28&gt;=80,"جـيد جدا",IF(I28&gt;=70,"جـيد",IF(I28&gt;=60,"متوسط",IF(I28&gt;=50,"مقبول","راسب")))))</f>
        <v>0</v>
      </c>
      <c r="Z28" s="5">
        <f>IF(J28&gt;=90,"امتياز",IF(J28&gt;=80,"جـيد جدا",IF(J28&gt;=70,"جـيد",IF(J28&gt;=60,"متوسط",IF(J28&gt;=50,"مقبول","راسب")))))</f>
        <v>0</v>
      </c>
      <c r="AA28" s="5">
        <f>IF(K28&gt;=90,"امتياز",IF(K28&gt;=80,"جـيد جدا",IF(K28&gt;=70,"جـيد",IF(K28&gt;=60,"متوسط",IF(K28&gt;=50,"مقبول","راسب")))))</f>
        <v>0</v>
      </c>
      <c r="AB28" s="5">
        <f>IF(L28&gt;=90,"امتياز",IF(L28&gt;=80,"جـيد جدا",IF(L28&gt;=70,"جـيد",IF(L28&gt;=60,"متوسط",IF(L28&gt;=50,"مقبول","راسب")))))</f>
        <v>0</v>
      </c>
      <c r="AC28" s="5">
        <f>IF(M28&gt;=90,"امتياز",IF(M28&gt;=80,"جـيد جدا",IF(M28&gt;=70,"جـيد",IF(M28&gt;=60,"متوسط",IF(M28&gt;=50,"مقبول","راسب")))))</f>
        <v>0</v>
      </c>
      <c r="AD28" s="5">
        <f>IF(N28&gt;=90,"امتياز",IF(N28&gt;=80,"جـيد جدا",IF(N28&gt;=70,"جـيد",IF(N28&gt;=60,"متوسط",IF(N28&gt;=50,"مقبول","راسب")))))</f>
        <v>0</v>
      </c>
      <c r="AE28" s="5">
        <f>MasterSheet!AA110</f>
        <v>0</v>
      </c>
      <c r="AF28" s="5">
        <f>MasterSheet!AB110</f>
        <v>0</v>
      </c>
      <c r="AG28" s="5">
        <f>MasterSheet!AC110</f>
        <v>0</v>
      </c>
      <c r="AL28" s="5">
        <f>IF(D28 &gt;=50,"P","F")</f>
        <v>0</v>
      </c>
      <c r="AM28" s="5">
        <f>IF(E28 &gt;=50,"P","F")</f>
        <v>0</v>
      </c>
      <c r="AN28" s="5">
        <f>IF(F28 &gt;=50,"P","F")</f>
        <v>0</v>
      </c>
      <c r="AO28" s="5">
        <f>IF(G28 &gt;=50,"P","F")</f>
        <v>0</v>
      </c>
      <c r="AP28" s="5">
        <f>IF(H28 &gt;=50,"P","F")</f>
        <v>0</v>
      </c>
      <c r="AQ28" s="5">
        <f>IF(I28 &gt;=50,"P","F")</f>
        <v>0</v>
      </c>
      <c r="AR28" s="5">
        <f>IF(J28 &gt;=50,"P","F")</f>
        <v>0</v>
      </c>
      <c r="AS28" s="5">
        <f>IF(K28 &gt;=50,"P","F")</f>
        <v>0</v>
      </c>
      <c r="AT28" s="5">
        <f>IF(L28 &gt;=50,"P","F")</f>
        <v>0</v>
      </c>
      <c r="AU28" s="5">
        <f>IF(M28 &gt;=50,"P","F")</f>
        <v>0</v>
      </c>
      <c r="AV28" s="5">
        <f>IF(N28 &gt;=50,"P","F")</f>
        <v>0</v>
      </c>
      <c r="AW28" s="5">
        <f>IF(AND(N28&gt;=50,N28&gt;=50,F28&gt;=50,G28&gt;=50,H28&gt;=50,I28&gt;=50,J28&gt;=50,K28&gt;=50,L28&gt;=50,M28&gt;=50),"P","F")</f>
        <v>0</v>
      </c>
    </row>
    <row r="29" spans="1:49">
      <c r="A29" s="5">
        <f>MasterSheet!B113</f>
        <v>0</v>
      </c>
      <c r="B29" s="5">
        <f>MasterSheet!C113</f>
        <v>0</v>
      </c>
      <c r="C29" s="5">
        <f>MasterSheet!D113</f>
        <v>0</v>
      </c>
      <c r="D29" s="5">
        <f>MasterSheet!E113</f>
        <v>0</v>
      </c>
      <c r="E29" s="5">
        <f>MasterSheet!G113</f>
        <v>0</v>
      </c>
      <c r="F29" s="5">
        <f>MasterSheet!I113</f>
        <v>0</v>
      </c>
      <c r="G29" s="5">
        <f>MasterSheet!K113</f>
        <v>0</v>
      </c>
      <c r="H29" s="5">
        <f>MasterSheet!M113</f>
        <v>0</v>
      </c>
      <c r="I29" s="5">
        <f>MasterSheet!O113</f>
        <v>0</v>
      </c>
      <c r="J29" s="5">
        <f>MasterSheet!Q113</f>
        <v>0</v>
      </c>
      <c r="K29" s="5">
        <f>MasterSheet!S113</f>
        <v>0</v>
      </c>
      <c r="L29" s="5">
        <f>MasterSheet!U113</f>
        <v>0</v>
      </c>
      <c r="M29" s="5">
        <f>MasterSheet!W113</f>
        <v>0</v>
      </c>
      <c r="N29" s="5">
        <f>MasterSheet!Y113</f>
        <v>0</v>
      </c>
      <c r="O29" s="5">
        <f>MasterSheet!AA113</f>
        <v>0</v>
      </c>
      <c r="P29" s="5">
        <f>MasterSheet!AB113</f>
        <v>0</v>
      </c>
      <c r="Q29" s="5">
        <f>MasterSheet!AC113</f>
        <v>0</v>
      </c>
      <c r="R29" s="5">
        <f>A29</f>
        <v>0</v>
      </c>
      <c r="S29" s="5">
        <f>B29</f>
        <v>0</v>
      </c>
      <c r="T29" s="5">
        <f>IF(D29&gt;=90,"امتياز",IF(D29&gt;=80,"جـيد جدا",IF(D29&gt;=70,"جـيد",IF(D29&gt;=60,"متوسط",IF(D29&gt;=50,"مقبول","راسب")))))</f>
        <v>0</v>
      </c>
      <c r="U29" s="5">
        <f>IF(E29&gt;=90,"امتياز",IF(E29&gt;=80,"جـيد جدا",IF(E29&gt;=70,"جـيد",IF(E29&gt;=60,"متوسط",IF(E29&gt;=50,"مقبول","راسب")))))</f>
        <v>0</v>
      </c>
      <c r="V29" s="5">
        <f>IF(F29&gt;=90,"امتياز",IF(F29&gt;=80,"جـيد جدا",IF(F29&gt;=70,"جـيد",IF(F29&gt;=60,"متوسط",IF(F29&gt;=50,"مقبول","راسب")))))</f>
        <v>0</v>
      </c>
      <c r="W29" s="5">
        <f>IF(G29&gt;=90,"امتياز",IF(G29&gt;=80,"جـيد جدا",IF(G29&gt;=70,"جـيد",IF(G29&gt;=60,"متوسط",IF(G29&gt;=50,"مقبول","راسب")))))</f>
        <v>0</v>
      </c>
      <c r="X29" s="5">
        <f>IF(H29&gt;=90,"امتياز",IF(H29&gt;=80,"جـيد جدا",IF(H29&gt;=70,"جـيد",IF(H29&gt;=60,"متوسط",IF(H29&gt;=50,"مقبول","راسب")))))</f>
        <v>0</v>
      </c>
      <c r="Y29" s="5">
        <f>IF(I29&gt;=90,"امتياز",IF(I29&gt;=80,"جـيد جدا",IF(I29&gt;=70,"جـيد",IF(I29&gt;=60,"متوسط",IF(I29&gt;=50,"مقبول","راسب")))))</f>
        <v>0</v>
      </c>
      <c r="Z29" s="5">
        <f>IF(J29&gt;=90,"امتياز",IF(J29&gt;=80,"جـيد جدا",IF(J29&gt;=70,"جـيد",IF(J29&gt;=60,"متوسط",IF(J29&gt;=50,"مقبول","راسب")))))</f>
        <v>0</v>
      </c>
      <c r="AA29" s="5">
        <f>IF(K29&gt;=90,"امتياز",IF(K29&gt;=80,"جـيد جدا",IF(K29&gt;=70,"جـيد",IF(K29&gt;=60,"متوسط",IF(K29&gt;=50,"مقبول","راسب")))))</f>
        <v>0</v>
      </c>
      <c r="AB29" s="5">
        <f>IF(L29&gt;=90,"امتياز",IF(L29&gt;=80,"جـيد جدا",IF(L29&gt;=70,"جـيد",IF(L29&gt;=60,"متوسط",IF(L29&gt;=50,"مقبول","راسب")))))</f>
        <v>0</v>
      </c>
      <c r="AC29" s="5">
        <f>IF(M29&gt;=90,"امتياز",IF(M29&gt;=80,"جـيد جدا",IF(M29&gt;=70,"جـيد",IF(M29&gt;=60,"متوسط",IF(M29&gt;=50,"مقبول","راسب")))))</f>
        <v>0</v>
      </c>
      <c r="AD29" s="5">
        <f>IF(N29&gt;=90,"امتياز",IF(N29&gt;=80,"جـيد جدا",IF(N29&gt;=70,"جـيد",IF(N29&gt;=60,"متوسط",IF(N29&gt;=50,"مقبول","راسب")))))</f>
        <v>0</v>
      </c>
      <c r="AE29" s="5">
        <f>MasterSheet!AA113</f>
        <v>0</v>
      </c>
      <c r="AF29" s="5">
        <f>MasterSheet!AB113</f>
        <v>0</v>
      </c>
      <c r="AG29" s="5">
        <f>MasterSheet!AC113</f>
        <v>0</v>
      </c>
      <c r="AL29" s="5">
        <f>IF(D29 &gt;=50,"P","F")</f>
        <v>0</v>
      </c>
      <c r="AM29" s="5">
        <f>IF(E29 &gt;=50,"P","F")</f>
        <v>0</v>
      </c>
      <c r="AN29" s="5">
        <f>IF(F29 &gt;=50,"P","F")</f>
        <v>0</v>
      </c>
      <c r="AO29" s="5">
        <f>IF(G29 &gt;=50,"P","F")</f>
        <v>0</v>
      </c>
      <c r="AP29" s="5">
        <f>IF(H29 &gt;=50,"P","F")</f>
        <v>0</v>
      </c>
      <c r="AQ29" s="5">
        <f>IF(I29 &gt;=50,"P","F")</f>
        <v>0</v>
      </c>
      <c r="AR29" s="5">
        <f>IF(J29 &gt;=50,"P","F")</f>
        <v>0</v>
      </c>
      <c r="AS29" s="5">
        <f>IF(K29 &gt;=50,"P","F")</f>
        <v>0</v>
      </c>
      <c r="AT29" s="5">
        <f>IF(L29 &gt;=50,"P","F")</f>
        <v>0</v>
      </c>
      <c r="AU29" s="5">
        <f>IF(M29 &gt;=50,"P","F")</f>
        <v>0</v>
      </c>
      <c r="AV29" s="5">
        <f>IF(N29 &gt;=50,"P","F")</f>
        <v>0</v>
      </c>
      <c r="AW29" s="5">
        <f>IF(AND(N29&gt;=50,N29&gt;=50,F29&gt;=50,G29&gt;=50,H29&gt;=50,I29&gt;=50,J29&gt;=50,K29&gt;=50,L29&gt;=50,M29&gt;=50),"P","F")</f>
        <v>0</v>
      </c>
    </row>
    <row r="30" spans="1:49">
      <c r="A30" s="5">
        <f>MasterSheet!B116</f>
        <v>0</v>
      </c>
      <c r="B30" s="5">
        <f>MasterSheet!C116</f>
        <v>0</v>
      </c>
      <c r="C30" s="5">
        <f>MasterSheet!D116</f>
        <v>0</v>
      </c>
      <c r="D30" s="5">
        <f>MasterSheet!E116</f>
        <v>0</v>
      </c>
      <c r="E30" s="5">
        <f>MasterSheet!G116</f>
        <v>0</v>
      </c>
      <c r="F30" s="5">
        <f>MasterSheet!I116</f>
        <v>0</v>
      </c>
      <c r="G30" s="5">
        <f>MasterSheet!K116</f>
        <v>0</v>
      </c>
      <c r="H30" s="5">
        <f>MasterSheet!M116</f>
        <v>0</v>
      </c>
      <c r="I30" s="5">
        <f>MasterSheet!O116</f>
        <v>0</v>
      </c>
      <c r="J30" s="5">
        <f>MasterSheet!Q116</f>
        <v>0</v>
      </c>
      <c r="K30" s="5">
        <f>MasterSheet!S116</f>
        <v>0</v>
      </c>
      <c r="L30" s="5">
        <f>MasterSheet!U116</f>
        <v>0</v>
      </c>
      <c r="M30" s="5">
        <f>MasterSheet!W116</f>
        <v>0</v>
      </c>
      <c r="N30" s="5">
        <f>MasterSheet!Y116</f>
        <v>0</v>
      </c>
      <c r="O30" s="5">
        <f>MasterSheet!AA116</f>
        <v>0</v>
      </c>
      <c r="P30" s="5">
        <f>MasterSheet!AB116</f>
        <v>0</v>
      </c>
      <c r="Q30" s="5">
        <f>MasterSheet!AC116</f>
        <v>0</v>
      </c>
      <c r="R30" s="5">
        <f>A30</f>
        <v>0</v>
      </c>
      <c r="S30" s="5">
        <f>B30</f>
        <v>0</v>
      </c>
      <c r="T30" s="5">
        <f>IF(D30&gt;=90,"امتياز",IF(D30&gt;=80,"جـيد جدا",IF(D30&gt;=70,"جـيد",IF(D30&gt;=60,"متوسط",IF(D30&gt;=50,"مقبول","راسب")))))</f>
        <v>0</v>
      </c>
      <c r="U30" s="5">
        <f>IF(E30&gt;=90,"امتياز",IF(E30&gt;=80,"جـيد جدا",IF(E30&gt;=70,"جـيد",IF(E30&gt;=60,"متوسط",IF(E30&gt;=50,"مقبول","راسب")))))</f>
        <v>0</v>
      </c>
      <c r="V30" s="5">
        <f>IF(F30&gt;=90,"امتياز",IF(F30&gt;=80,"جـيد جدا",IF(F30&gt;=70,"جـيد",IF(F30&gt;=60,"متوسط",IF(F30&gt;=50,"مقبول","راسب")))))</f>
        <v>0</v>
      </c>
      <c r="W30" s="5">
        <f>IF(G30&gt;=90,"امتياز",IF(G30&gt;=80,"جـيد جدا",IF(G30&gt;=70,"جـيد",IF(G30&gt;=60,"متوسط",IF(G30&gt;=50,"مقبول","راسب")))))</f>
        <v>0</v>
      </c>
      <c r="X30" s="5">
        <f>IF(H30&gt;=90,"امتياز",IF(H30&gt;=80,"جـيد جدا",IF(H30&gt;=70,"جـيد",IF(H30&gt;=60,"متوسط",IF(H30&gt;=50,"مقبول","راسب")))))</f>
        <v>0</v>
      </c>
      <c r="Y30" s="5">
        <f>IF(I30&gt;=90,"امتياز",IF(I30&gt;=80,"جـيد جدا",IF(I30&gt;=70,"جـيد",IF(I30&gt;=60,"متوسط",IF(I30&gt;=50,"مقبول","راسب")))))</f>
        <v>0</v>
      </c>
      <c r="Z30" s="5">
        <f>IF(J30&gt;=90,"امتياز",IF(J30&gt;=80,"جـيد جدا",IF(J30&gt;=70,"جـيد",IF(J30&gt;=60,"متوسط",IF(J30&gt;=50,"مقبول","راسب")))))</f>
        <v>0</v>
      </c>
      <c r="AA30" s="5">
        <f>IF(K30&gt;=90,"امتياز",IF(K30&gt;=80,"جـيد جدا",IF(K30&gt;=70,"جـيد",IF(K30&gt;=60,"متوسط",IF(K30&gt;=50,"مقبول","راسب")))))</f>
        <v>0</v>
      </c>
      <c r="AB30" s="5">
        <f>IF(L30&gt;=90,"امتياز",IF(L30&gt;=80,"جـيد جدا",IF(L30&gt;=70,"جـيد",IF(L30&gt;=60,"متوسط",IF(L30&gt;=50,"مقبول","راسب")))))</f>
        <v>0</v>
      </c>
      <c r="AC30" s="5">
        <f>IF(M30&gt;=90,"امتياز",IF(M30&gt;=80,"جـيد جدا",IF(M30&gt;=70,"جـيد",IF(M30&gt;=60,"متوسط",IF(M30&gt;=50,"مقبول","راسب")))))</f>
        <v>0</v>
      </c>
      <c r="AD30" s="5">
        <f>IF(N30&gt;=90,"امتياز",IF(N30&gt;=80,"جـيد جدا",IF(N30&gt;=70,"جـيد",IF(N30&gt;=60,"متوسط",IF(N30&gt;=50,"مقبول","راسب")))))</f>
        <v>0</v>
      </c>
      <c r="AE30" s="5">
        <f>MasterSheet!AA116</f>
        <v>0</v>
      </c>
      <c r="AF30" s="5">
        <f>MasterSheet!AB116</f>
        <v>0</v>
      </c>
      <c r="AG30" s="5">
        <f>MasterSheet!AC116</f>
        <v>0</v>
      </c>
      <c r="AL30" s="5">
        <f>IF(D30 &gt;=50,"P","F")</f>
        <v>0</v>
      </c>
      <c r="AM30" s="5">
        <f>IF(E30 &gt;=50,"P","F")</f>
        <v>0</v>
      </c>
      <c r="AN30" s="5">
        <f>IF(F30 &gt;=50,"P","F")</f>
        <v>0</v>
      </c>
      <c r="AO30" s="5">
        <f>IF(G30 &gt;=50,"P","F")</f>
        <v>0</v>
      </c>
      <c r="AP30" s="5">
        <f>IF(H30 &gt;=50,"P","F")</f>
        <v>0</v>
      </c>
      <c r="AQ30" s="5">
        <f>IF(I30 &gt;=50,"P","F")</f>
        <v>0</v>
      </c>
      <c r="AR30" s="5">
        <f>IF(J30 &gt;=50,"P","F")</f>
        <v>0</v>
      </c>
      <c r="AS30" s="5">
        <f>IF(K30 &gt;=50,"P","F")</f>
        <v>0</v>
      </c>
      <c r="AT30" s="5">
        <f>IF(L30 &gt;=50,"P","F")</f>
        <v>0</v>
      </c>
      <c r="AU30" s="5">
        <f>IF(M30 &gt;=50,"P","F")</f>
        <v>0</v>
      </c>
      <c r="AV30" s="5">
        <f>IF(N30 &gt;=50,"P","F")</f>
        <v>0</v>
      </c>
      <c r="AW30" s="5">
        <f>IF(AND(N30&gt;=50,N30&gt;=50,F30&gt;=50,G30&gt;=50,H30&gt;=50,I30&gt;=50,J30&gt;=50,K30&gt;=50,L30&gt;=50,M30&gt;=50),"P","F")</f>
        <v>0</v>
      </c>
    </row>
    <row r="31" spans="1:49">
      <c r="A31" s="5">
        <f>MasterSheet!B119</f>
        <v>0</v>
      </c>
      <c r="B31" s="5">
        <f>MasterSheet!C119</f>
        <v>0</v>
      </c>
      <c r="C31" s="5">
        <f>MasterSheet!D119</f>
        <v>0</v>
      </c>
      <c r="D31" s="5">
        <f>MasterSheet!E119</f>
        <v>0</v>
      </c>
      <c r="E31" s="5">
        <f>MasterSheet!G119</f>
        <v>0</v>
      </c>
      <c r="F31" s="5">
        <f>MasterSheet!I119</f>
        <v>0</v>
      </c>
      <c r="G31" s="5">
        <f>MasterSheet!K119</f>
        <v>0</v>
      </c>
      <c r="H31" s="5">
        <f>MasterSheet!M119</f>
        <v>0</v>
      </c>
      <c r="I31" s="5">
        <f>MasterSheet!O119</f>
        <v>0</v>
      </c>
      <c r="J31" s="5">
        <f>MasterSheet!Q119</f>
        <v>0</v>
      </c>
      <c r="K31" s="5">
        <f>MasterSheet!S119</f>
        <v>0</v>
      </c>
      <c r="L31" s="5">
        <f>MasterSheet!U119</f>
        <v>0</v>
      </c>
      <c r="M31" s="5">
        <f>MasterSheet!W119</f>
        <v>0</v>
      </c>
      <c r="N31" s="5">
        <f>MasterSheet!Y119</f>
        <v>0</v>
      </c>
      <c r="O31" s="5">
        <f>MasterSheet!AA119</f>
        <v>0</v>
      </c>
      <c r="P31" s="5">
        <f>MasterSheet!AB119</f>
        <v>0</v>
      </c>
      <c r="Q31" s="5">
        <f>MasterSheet!AC119</f>
        <v>0</v>
      </c>
      <c r="R31" s="5">
        <f>A31</f>
        <v>0</v>
      </c>
      <c r="S31" s="5">
        <f>B31</f>
        <v>0</v>
      </c>
      <c r="T31" s="5">
        <f>IF(D31&gt;=90,"امتياز",IF(D31&gt;=80,"جـيد جدا",IF(D31&gt;=70,"جـيد",IF(D31&gt;=60,"متوسط",IF(D31&gt;=50,"مقبول","راسب")))))</f>
        <v>0</v>
      </c>
      <c r="U31" s="5">
        <f>IF(E31&gt;=90,"امتياز",IF(E31&gt;=80,"جـيد جدا",IF(E31&gt;=70,"جـيد",IF(E31&gt;=60,"متوسط",IF(E31&gt;=50,"مقبول","راسب")))))</f>
        <v>0</v>
      </c>
      <c r="V31" s="5">
        <f>IF(F31&gt;=90,"امتياز",IF(F31&gt;=80,"جـيد جدا",IF(F31&gt;=70,"جـيد",IF(F31&gt;=60,"متوسط",IF(F31&gt;=50,"مقبول","راسب")))))</f>
        <v>0</v>
      </c>
      <c r="W31" s="5">
        <f>IF(G31&gt;=90,"امتياز",IF(G31&gt;=80,"جـيد جدا",IF(G31&gt;=70,"جـيد",IF(G31&gt;=60,"متوسط",IF(G31&gt;=50,"مقبول","راسب")))))</f>
        <v>0</v>
      </c>
      <c r="X31" s="5">
        <f>IF(H31&gt;=90,"امتياز",IF(H31&gt;=80,"جـيد جدا",IF(H31&gt;=70,"جـيد",IF(H31&gt;=60,"متوسط",IF(H31&gt;=50,"مقبول","راسب")))))</f>
        <v>0</v>
      </c>
      <c r="Y31" s="5">
        <f>IF(I31&gt;=90,"امتياز",IF(I31&gt;=80,"جـيد جدا",IF(I31&gt;=70,"جـيد",IF(I31&gt;=60,"متوسط",IF(I31&gt;=50,"مقبول","راسب")))))</f>
        <v>0</v>
      </c>
      <c r="Z31" s="5">
        <f>IF(J31&gt;=90,"امتياز",IF(J31&gt;=80,"جـيد جدا",IF(J31&gt;=70,"جـيد",IF(J31&gt;=60,"متوسط",IF(J31&gt;=50,"مقبول","راسب")))))</f>
        <v>0</v>
      </c>
      <c r="AA31" s="5">
        <f>IF(K31&gt;=90,"امتياز",IF(K31&gt;=80,"جـيد جدا",IF(K31&gt;=70,"جـيد",IF(K31&gt;=60,"متوسط",IF(K31&gt;=50,"مقبول","راسب")))))</f>
        <v>0</v>
      </c>
      <c r="AB31" s="5">
        <f>IF(L31&gt;=90,"امتياز",IF(L31&gt;=80,"جـيد جدا",IF(L31&gt;=70,"جـيد",IF(L31&gt;=60,"متوسط",IF(L31&gt;=50,"مقبول","راسب")))))</f>
        <v>0</v>
      </c>
      <c r="AC31" s="5">
        <f>IF(M31&gt;=90,"امتياز",IF(M31&gt;=80,"جـيد جدا",IF(M31&gt;=70,"جـيد",IF(M31&gt;=60,"متوسط",IF(M31&gt;=50,"مقبول","راسب")))))</f>
        <v>0</v>
      </c>
      <c r="AD31" s="5">
        <f>IF(N31&gt;=90,"امتياز",IF(N31&gt;=80,"جـيد جدا",IF(N31&gt;=70,"جـيد",IF(N31&gt;=60,"متوسط",IF(N31&gt;=50,"مقبول","راسب")))))</f>
        <v>0</v>
      </c>
      <c r="AE31" s="5">
        <f>MasterSheet!AA119</f>
        <v>0</v>
      </c>
      <c r="AF31" s="5">
        <f>MasterSheet!AB119</f>
        <v>0</v>
      </c>
      <c r="AG31" s="5">
        <f>MasterSheet!AC119</f>
        <v>0</v>
      </c>
      <c r="AL31" s="5">
        <f>IF(D31 &gt;=50,"P","F")</f>
        <v>0</v>
      </c>
      <c r="AM31" s="5">
        <f>IF(E31 &gt;=50,"P","F")</f>
        <v>0</v>
      </c>
      <c r="AN31" s="5">
        <f>IF(F31 &gt;=50,"P","F")</f>
        <v>0</v>
      </c>
      <c r="AO31" s="5">
        <f>IF(G31 &gt;=50,"P","F")</f>
        <v>0</v>
      </c>
      <c r="AP31" s="5">
        <f>IF(H31 &gt;=50,"P","F")</f>
        <v>0</v>
      </c>
      <c r="AQ31" s="5">
        <f>IF(I31 &gt;=50,"P","F")</f>
        <v>0</v>
      </c>
      <c r="AR31" s="5">
        <f>IF(J31 &gt;=50,"P","F")</f>
        <v>0</v>
      </c>
      <c r="AS31" s="5">
        <f>IF(K31 &gt;=50,"P","F")</f>
        <v>0</v>
      </c>
      <c r="AT31" s="5">
        <f>IF(L31 &gt;=50,"P","F")</f>
        <v>0</v>
      </c>
      <c r="AU31" s="5">
        <f>IF(M31 &gt;=50,"P","F")</f>
        <v>0</v>
      </c>
      <c r="AV31" s="5">
        <f>IF(N31 &gt;=50,"P","F")</f>
        <v>0</v>
      </c>
      <c r="AW31" s="5">
        <f>IF(AND(N31&gt;=50,N31&gt;=50,F31&gt;=50,G31&gt;=50,H31&gt;=50,I31&gt;=50,J31&gt;=50,K31&gt;=50,L31&gt;=50,M31&gt;=50),"P","F")</f>
        <v>0</v>
      </c>
    </row>
    <row r="32" spans="1:49">
      <c r="A32" s="5">
        <f>MasterSheet!B122</f>
        <v>0</v>
      </c>
      <c r="B32" s="5">
        <f>MasterSheet!C122</f>
        <v>0</v>
      </c>
      <c r="C32" s="5">
        <f>MasterSheet!D122</f>
        <v>0</v>
      </c>
      <c r="D32" s="5">
        <f>MasterSheet!E122</f>
        <v>0</v>
      </c>
      <c r="E32" s="5">
        <f>MasterSheet!G122</f>
        <v>0</v>
      </c>
      <c r="F32" s="5">
        <f>MasterSheet!I122</f>
        <v>0</v>
      </c>
      <c r="G32" s="5">
        <f>MasterSheet!K122</f>
        <v>0</v>
      </c>
      <c r="H32" s="5">
        <f>MasterSheet!M122</f>
        <v>0</v>
      </c>
      <c r="I32" s="5">
        <f>MasterSheet!O122</f>
        <v>0</v>
      </c>
      <c r="J32" s="5">
        <f>MasterSheet!Q122</f>
        <v>0</v>
      </c>
      <c r="K32" s="5">
        <f>MasterSheet!S122</f>
        <v>0</v>
      </c>
      <c r="L32" s="5">
        <f>MasterSheet!U122</f>
        <v>0</v>
      </c>
      <c r="M32" s="5">
        <f>MasterSheet!W122</f>
        <v>0</v>
      </c>
      <c r="N32" s="5">
        <f>MasterSheet!Y122</f>
        <v>0</v>
      </c>
      <c r="O32" s="5">
        <f>MasterSheet!AA122</f>
        <v>0</v>
      </c>
      <c r="P32" s="5">
        <f>MasterSheet!AB122</f>
        <v>0</v>
      </c>
      <c r="Q32" s="5">
        <f>MasterSheet!AC122</f>
        <v>0</v>
      </c>
      <c r="R32" s="5">
        <f>A32</f>
        <v>0</v>
      </c>
      <c r="S32" s="5">
        <f>B32</f>
        <v>0</v>
      </c>
      <c r="T32" s="5">
        <f>IF(D32&gt;=90,"امتياز",IF(D32&gt;=80,"جـيد جدا",IF(D32&gt;=70,"جـيد",IF(D32&gt;=60,"متوسط",IF(D32&gt;=50,"مقبول","راسب")))))</f>
        <v>0</v>
      </c>
      <c r="U32" s="5">
        <f>IF(E32&gt;=90,"امتياز",IF(E32&gt;=80,"جـيد جدا",IF(E32&gt;=70,"جـيد",IF(E32&gt;=60,"متوسط",IF(E32&gt;=50,"مقبول","راسب")))))</f>
        <v>0</v>
      </c>
      <c r="V32" s="5">
        <f>IF(F32&gt;=90,"امتياز",IF(F32&gt;=80,"جـيد جدا",IF(F32&gt;=70,"جـيد",IF(F32&gt;=60,"متوسط",IF(F32&gt;=50,"مقبول","راسب")))))</f>
        <v>0</v>
      </c>
      <c r="W32" s="5">
        <f>IF(G32&gt;=90,"امتياز",IF(G32&gt;=80,"جـيد جدا",IF(G32&gt;=70,"جـيد",IF(G32&gt;=60,"متوسط",IF(G32&gt;=50,"مقبول","راسب")))))</f>
        <v>0</v>
      </c>
      <c r="X32" s="5">
        <f>IF(H32&gt;=90,"امتياز",IF(H32&gt;=80,"جـيد جدا",IF(H32&gt;=70,"جـيد",IF(H32&gt;=60,"متوسط",IF(H32&gt;=50,"مقبول","راسب")))))</f>
        <v>0</v>
      </c>
      <c r="Y32" s="5">
        <f>IF(I32&gt;=90,"امتياز",IF(I32&gt;=80,"جـيد جدا",IF(I32&gt;=70,"جـيد",IF(I32&gt;=60,"متوسط",IF(I32&gt;=50,"مقبول","راسب")))))</f>
        <v>0</v>
      </c>
      <c r="Z32" s="5">
        <f>IF(J32&gt;=90,"امتياز",IF(J32&gt;=80,"جـيد جدا",IF(J32&gt;=70,"جـيد",IF(J32&gt;=60,"متوسط",IF(J32&gt;=50,"مقبول","راسب")))))</f>
        <v>0</v>
      </c>
      <c r="AA32" s="5">
        <f>IF(K32&gt;=90,"امتياز",IF(K32&gt;=80,"جـيد جدا",IF(K32&gt;=70,"جـيد",IF(K32&gt;=60,"متوسط",IF(K32&gt;=50,"مقبول","راسب")))))</f>
        <v>0</v>
      </c>
      <c r="AB32" s="5">
        <f>IF(L32&gt;=90,"امتياز",IF(L32&gt;=80,"جـيد جدا",IF(L32&gt;=70,"جـيد",IF(L32&gt;=60,"متوسط",IF(L32&gt;=50,"مقبول","راسب")))))</f>
        <v>0</v>
      </c>
      <c r="AC32" s="5">
        <f>IF(M32&gt;=90,"امتياز",IF(M32&gt;=80,"جـيد جدا",IF(M32&gt;=70,"جـيد",IF(M32&gt;=60,"متوسط",IF(M32&gt;=50,"مقبول","راسب")))))</f>
        <v>0</v>
      </c>
      <c r="AD32" s="5">
        <f>IF(N32&gt;=90,"امتياز",IF(N32&gt;=80,"جـيد جدا",IF(N32&gt;=70,"جـيد",IF(N32&gt;=60,"متوسط",IF(N32&gt;=50,"مقبول","راسب")))))</f>
        <v>0</v>
      </c>
      <c r="AE32" s="5">
        <f>MasterSheet!AA122</f>
        <v>0</v>
      </c>
      <c r="AF32" s="5">
        <f>MasterSheet!AB122</f>
        <v>0</v>
      </c>
      <c r="AG32" s="5">
        <f>MasterSheet!AC122</f>
        <v>0</v>
      </c>
      <c r="AL32" s="5">
        <f>IF(D32 &gt;=50,"P","F")</f>
        <v>0</v>
      </c>
      <c r="AM32" s="5">
        <f>IF(E32 &gt;=50,"P","F")</f>
        <v>0</v>
      </c>
      <c r="AN32" s="5">
        <f>IF(F32 &gt;=50,"P","F")</f>
        <v>0</v>
      </c>
      <c r="AO32" s="5">
        <f>IF(G32 &gt;=50,"P","F")</f>
        <v>0</v>
      </c>
      <c r="AP32" s="5">
        <f>IF(H32 &gt;=50,"P","F")</f>
        <v>0</v>
      </c>
      <c r="AQ32" s="5">
        <f>IF(I32 &gt;=50,"P","F")</f>
        <v>0</v>
      </c>
      <c r="AR32" s="5">
        <f>IF(J32 &gt;=50,"P","F")</f>
        <v>0</v>
      </c>
      <c r="AS32" s="5">
        <f>IF(K32 &gt;=50,"P","F")</f>
        <v>0</v>
      </c>
      <c r="AT32" s="5">
        <f>IF(L32 &gt;=50,"P","F")</f>
        <v>0</v>
      </c>
      <c r="AU32" s="5">
        <f>IF(M32 &gt;=50,"P","F")</f>
        <v>0</v>
      </c>
      <c r="AV32" s="5">
        <f>IF(N32 &gt;=50,"P","F")</f>
        <v>0</v>
      </c>
      <c r="AW32" s="5">
        <f>IF(AND(N32&gt;=50,N32&gt;=50,F32&gt;=50,G32&gt;=50,H32&gt;=50,I32&gt;=50,J32&gt;=50,K32&gt;=50,L32&gt;=50,M32&gt;=50),"P","F")</f>
        <v>0</v>
      </c>
    </row>
    <row r="33" spans="1:49">
      <c r="A33" s="5">
        <f>MasterSheet!B125</f>
        <v>0</v>
      </c>
      <c r="B33" s="5">
        <f>MasterSheet!C125</f>
        <v>0</v>
      </c>
      <c r="C33" s="5">
        <f>MasterSheet!D125</f>
        <v>0</v>
      </c>
      <c r="D33" s="5">
        <f>MasterSheet!E125</f>
        <v>0</v>
      </c>
      <c r="E33" s="5">
        <f>MasterSheet!G125</f>
        <v>0</v>
      </c>
      <c r="F33" s="5">
        <f>MasterSheet!I125</f>
        <v>0</v>
      </c>
      <c r="G33" s="5">
        <f>MasterSheet!K125</f>
        <v>0</v>
      </c>
      <c r="H33" s="5">
        <f>MasterSheet!M125</f>
        <v>0</v>
      </c>
      <c r="I33" s="5">
        <f>MasterSheet!O125</f>
        <v>0</v>
      </c>
      <c r="J33" s="5">
        <f>MasterSheet!Q125</f>
        <v>0</v>
      </c>
      <c r="K33" s="5">
        <f>MasterSheet!S125</f>
        <v>0</v>
      </c>
      <c r="L33" s="5">
        <f>MasterSheet!U125</f>
        <v>0</v>
      </c>
      <c r="M33" s="5">
        <f>MasterSheet!W125</f>
        <v>0</v>
      </c>
      <c r="N33" s="5">
        <f>MasterSheet!Y125</f>
        <v>0</v>
      </c>
      <c r="O33" s="5">
        <f>MasterSheet!AA125</f>
        <v>0</v>
      </c>
      <c r="P33" s="5">
        <f>MasterSheet!AB125</f>
        <v>0</v>
      </c>
      <c r="Q33" s="5">
        <f>MasterSheet!AC125</f>
        <v>0</v>
      </c>
      <c r="R33" s="5">
        <f>A33</f>
        <v>0</v>
      </c>
      <c r="S33" s="5">
        <f>B33</f>
        <v>0</v>
      </c>
      <c r="T33" s="5">
        <f>IF(D33&gt;=90,"امتياز",IF(D33&gt;=80,"جـيد جدا",IF(D33&gt;=70,"جـيد",IF(D33&gt;=60,"متوسط",IF(D33&gt;=50,"مقبول","راسب")))))</f>
        <v>0</v>
      </c>
      <c r="U33" s="5">
        <f>IF(E33&gt;=90,"امتياز",IF(E33&gt;=80,"جـيد جدا",IF(E33&gt;=70,"جـيد",IF(E33&gt;=60,"متوسط",IF(E33&gt;=50,"مقبول","راسب")))))</f>
        <v>0</v>
      </c>
      <c r="V33" s="5">
        <f>IF(F33&gt;=90,"امتياز",IF(F33&gt;=80,"جـيد جدا",IF(F33&gt;=70,"جـيد",IF(F33&gt;=60,"متوسط",IF(F33&gt;=50,"مقبول","راسب")))))</f>
        <v>0</v>
      </c>
      <c r="W33" s="5">
        <f>IF(G33&gt;=90,"امتياز",IF(G33&gt;=80,"جـيد جدا",IF(G33&gt;=70,"جـيد",IF(G33&gt;=60,"متوسط",IF(G33&gt;=50,"مقبول","راسب")))))</f>
        <v>0</v>
      </c>
      <c r="X33" s="5">
        <f>IF(H33&gt;=90,"امتياز",IF(H33&gt;=80,"جـيد جدا",IF(H33&gt;=70,"جـيد",IF(H33&gt;=60,"متوسط",IF(H33&gt;=50,"مقبول","راسب")))))</f>
        <v>0</v>
      </c>
      <c r="Y33" s="5">
        <f>IF(I33&gt;=90,"امتياز",IF(I33&gt;=80,"جـيد جدا",IF(I33&gt;=70,"جـيد",IF(I33&gt;=60,"متوسط",IF(I33&gt;=50,"مقبول","راسب")))))</f>
        <v>0</v>
      </c>
      <c r="Z33" s="5">
        <f>IF(J33&gt;=90,"امتياز",IF(J33&gt;=80,"جـيد جدا",IF(J33&gt;=70,"جـيد",IF(J33&gt;=60,"متوسط",IF(J33&gt;=50,"مقبول","راسب")))))</f>
        <v>0</v>
      </c>
      <c r="AA33" s="5">
        <f>IF(K33&gt;=90,"امتياز",IF(K33&gt;=80,"جـيد جدا",IF(K33&gt;=70,"جـيد",IF(K33&gt;=60,"متوسط",IF(K33&gt;=50,"مقبول","راسب")))))</f>
        <v>0</v>
      </c>
      <c r="AB33" s="5">
        <f>IF(L33&gt;=90,"امتياز",IF(L33&gt;=80,"جـيد جدا",IF(L33&gt;=70,"جـيد",IF(L33&gt;=60,"متوسط",IF(L33&gt;=50,"مقبول","راسب")))))</f>
        <v>0</v>
      </c>
      <c r="AC33" s="5">
        <f>IF(M33&gt;=90,"امتياز",IF(M33&gt;=80,"جـيد جدا",IF(M33&gt;=70,"جـيد",IF(M33&gt;=60,"متوسط",IF(M33&gt;=50,"مقبول","راسب")))))</f>
        <v>0</v>
      </c>
      <c r="AD33" s="5">
        <f>IF(N33&gt;=90,"امتياز",IF(N33&gt;=80,"جـيد جدا",IF(N33&gt;=70,"جـيد",IF(N33&gt;=60,"متوسط",IF(N33&gt;=50,"مقبول","راسب")))))</f>
        <v>0</v>
      </c>
      <c r="AE33" s="5">
        <f>MasterSheet!AA125</f>
        <v>0</v>
      </c>
      <c r="AF33" s="5">
        <f>MasterSheet!AB125</f>
        <v>0</v>
      </c>
      <c r="AG33" s="5">
        <f>MasterSheet!AC125</f>
        <v>0</v>
      </c>
      <c r="AL33" s="5">
        <f>IF(D33 &gt;=50,"P","F")</f>
        <v>0</v>
      </c>
      <c r="AM33" s="5">
        <f>IF(E33 &gt;=50,"P","F")</f>
        <v>0</v>
      </c>
      <c r="AN33" s="5">
        <f>IF(F33 &gt;=50,"P","F")</f>
        <v>0</v>
      </c>
      <c r="AO33" s="5">
        <f>IF(G33 &gt;=50,"P","F")</f>
        <v>0</v>
      </c>
      <c r="AP33" s="5">
        <f>IF(H33 &gt;=50,"P","F")</f>
        <v>0</v>
      </c>
      <c r="AQ33" s="5">
        <f>IF(I33 &gt;=50,"P","F")</f>
        <v>0</v>
      </c>
      <c r="AR33" s="5">
        <f>IF(J33 &gt;=50,"P","F")</f>
        <v>0</v>
      </c>
      <c r="AS33" s="5">
        <f>IF(K33 &gt;=50,"P","F")</f>
        <v>0</v>
      </c>
      <c r="AT33" s="5">
        <f>IF(L33 &gt;=50,"P","F")</f>
        <v>0</v>
      </c>
      <c r="AU33" s="5">
        <f>IF(M33 &gt;=50,"P","F")</f>
        <v>0</v>
      </c>
      <c r="AV33" s="5">
        <f>IF(N33 &gt;=50,"P","F")</f>
        <v>0</v>
      </c>
      <c r="AW33" s="5">
        <f>IF(AND(N33&gt;=50,N33&gt;=50,F33&gt;=50,G33&gt;=50,H33&gt;=50,I33&gt;=50,J33&gt;=50,K33&gt;=50,L33&gt;=50,M33&gt;=50),"P","F")</f>
        <v>0</v>
      </c>
    </row>
    <row r="34" spans="1:49">
      <c r="A34" s="5">
        <f>MasterSheet!B128</f>
        <v>0</v>
      </c>
      <c r="B34" s="5">
        <f>MasterSheet!C128</f>
        <v>0</v>
      </c>
      <c r="C34" s="5">
        <f>MasterSheet!D128</f>
        <v>0</v>
      </c>
      <c r="D34" s="5">
        <f>MasterSheet!E128</f>
        <v>0</v>
      </c>
      <c r="E34" s="5">
        <f>MasterSheet!G128</f>
        <v>0</v>
      </c>
      <c r="F34" s="5">
        <f>MasterSheet!I128</f>
        <v>0</v>
      </c>
      <c r="G34" s="5">
        <f>MasterSheet!K128</f>
        <v>0</v>
      </c>
      <c r="H34" s="5">
        <f>MasterSheet!M128</f>
        <v>0</v>
      </c>
      <c r="I34" s="5">
        <f>MasterSheet!O128</f>
        <v>0</v>
      </c>
      <c r="J34" s="5">
        <f>MasterSheet!Q128</f>
        <v>0</v>
      </c>
      <c r="K34" s="5">
        <f>MasterSheet!S128</f>
        <v>0</v>
      </c>
      <c r="L34" s="5">
        <f>MasterSheet!U128</f>
        <v>0</v>
      </c>
      <c r="M34" s="5">
        <f>MasterSheet!W128</f>
        <v>0</v>
      </c>
      <c r="N34" s="5">
        <f>MasterSheet!Y128</f>
        <v>0</v>
      </c>
      <c r="O34" s="5">
        <f>MasterSheet!AA128</f>
        <v>0</v>
      </c>
      <c r="P34" s="5">
        <f>MasterSheet!AB128</f>
        <v>0</v>
      </c>
      <c r="Q34" s="5">
        <f>MasterSheet!AC128</f>
        <v>0</v>
      </c>
      <c r="R34" s="5">
        <f>A34</f>
        <v>0</v>
      </c>
      <c r="S34" s="5">
        <f>B34</f>
        <v>0</v>
      </c>
      <c r="T34" s="5">
        <f>IF(D34&gt;=90,"امتياز",IF(D34&gt;=80,"جـيد جدا",IF(D34&gt;=70,"جـيد",IF(D34&gt;=60,"متوسط",IF(D34&gt;=50,"مقبول","راسب")))))</f>
        <v>0</v>
      </c>
      <c r="U34" s="5">
        <f>IF(E34&gt;=90,"امتياز",IF(E34&gt;=80,"جـيد جدا",IF(E34&gt;=70,"جـيد",IF(E34&gt;=60,"متوسط",IF(E34&gt;=50,"مقبول","راسب")))))</f>
        <v>0</v>
      </c>
      <c r="V34" s="5">
        <f>IF(F34&gt;=90,"امتياز",IF(F34&gt;=80,"جـيد جدا",IF(F34&gt;=70,"جـيد",IF(F34&gt;=60,"متوسط",IF(F34&gt;=50,"مقبول","راسب")))))</f>
        <v>0</v>
      </c>
      <c r="W34" s="5">
        <f>IF(G34&gt;=90,"امتياز",IF(G34&gt;=80,"جـيد جدا",IF(G34&gt;=70,"جـيد",IF(G34&gt;=60,"متوسط",IF(G34&gt;=50,"مقبول","راسب")))))</f>
        <v>0</v>
      </c>
      <c r="X34" s="5">
        <f>IF(H34&gt;=90,"امتياز",IF(H34&gt;=80,"جـيد جدا",IF(H34&gt;=70,"جـيد",IF(H34&gt;=60,"متوسط",IF(H34&gt;=50,"مقبول","راسب")))))</f>
        <v>0</v>
      </c>
      <c r="Y34" s="5">
        <f>IF(I34&gt;=90,"امتياز",IF(I34&gt;=80,"جـيد جدا",IF(I34&gt;=70,"جـيد",IF(I34&gt;=60,"متوسط",IF(I34&gt;=50,"مقبول","راسب")))))</f>
        <v>0</v>
      </c>
      <c r="Z34" s="5">
        <f>IF(J34&gt;=90,"امتياز",IF(J34&gt;=80,"جـيد جدا",IF(J34&gt;=70,"جـيد",IF(J34&gt;=60,"متوسط",IF(J34&gt;=50,"مقبول","راسب")))))</f>
        <v>0</v>
      </c>
      <c r="AA34" s="5">
        <f>IF(K34&gt;=90,"امتياز",IF(K34&gt;=80,"جـيد جدا",IF(K34&gt;=70,"جـيد",IF(K34&gt;=60,"متوسط",IF(K34&gt;=50,"مقبول","راسب")))))</f>
        <v>0</v>
      </c>
      <c r="AB34" s="5">
        <f>IF(L34&gt;=90,"امتياز",IF(L34&gt;=80,"جـيد جدا",IF(L34&gt;=70,"جـيد",IF(L34&gt;=60,"متوسط",IF(L34&gt;=50,"مقبول","راسب")))))</f>
        <v>0</v>
      </c>
      <c r="AC34" s="5">
        <f>IF(M34&gt;=90,"امتياز",IF(M34&gt;=80,"جـيد جدا",IF(M34&gt;=70,"جـيد",IF(M34&gt;=60,"متوسط",IF(M34&gt;=50,"مقبول","راسب")))))</f>
        <v>0</v>
      </c>
      <c r="AD34" s="5">
        <f>IF(N34&gt;=90,"امتياز",IF(N34&gt;=80,"جـيد جدا",IF(N34&gt;=70,"جـيد",IF(N34&gt;=60,"متوسط",IF(N34&gt;=50,"مقبول","راسب")))))</f>
        <v>0</v>
      </c>
      <c r="AE34" s="5">
        <f>MasterSheet!AA128</f>
        <v>0</v>
      </c>
      <c r="AF34" s="5">
        <f>MasterSheet!AB128</f>
        <v>0</v>
      </c>
      <c r="AG34" s="5">
        <f>MasterSheet!AC128</f>
        <v>0</v>
      </c>
      <c r="AL34" s="5">
        <f>IF(D34 &gt;=50,"P","F")</f>
        <v>0</v>
      </c>
      <c r="AM34" s="5">
        <f>IF(E34 &gt;=50,"P","F")</f>
        <v>0</v>
      </c>
      <c r="AN34" s="5">
        <f>IF(F34 &gt;=50,"P","F")</f>
        <v>0</v>
      </c>
      <c r="AO34" s="5">
        <f>IF(G34 &gt;=50,"P","F")</f>
        <v>0</v>
      </c>
      <c r="AP34" s="5">
        <f>IF(H34 &gt;=50,"P","F")</f>
        <v>0</v>
      </c>
      <c r="AQ34" s="5">
        <f>IF(I34 &gt;=50,"P","F")</f>
        <v>0</v>
      </c>
      <c r="AR34" s="5">
        <f>IF(J34 &gt;=50,"P","F")</f>
        <v>0</v>
      </c>
      <c r="AS34" s="5">
        <f>IF(K34 &gt;=50,"P","F")</f>
        <v>0</v>
      </c>
      <c r="AT34" s="5">
        <f>IF(L34 &gt;=50,"P","F")</f>
        <v>0</v>
      </c>
      <c r="AU34" s="5">
        <f>IF(M34 &gt;=50,"P","F")</f>
        <v>0</v>
      </c>
      <c r="AV34" s="5">
        <f>IF(N34 &gt;=50,"P","F")</f>
        <v>0</v>
      </c>
      <c r="AW34" s="5">
        <f>IF(AND(N34&gt;=50,N34&gt;=50,F34&gt;=50,G34&gt;=50,H34&gt;=50,I34&gt;=50,J34&gt;=50,K34&gt;=50,L34&gt;=50,M34&gt;=50),"P","F")</f>
        <v>0</v>
      </c>
    </row>
    <row r="35" spans="1:49">
      <c r="A35" s="5">
        <f>MasterSheet!B131</f>
        <v>0</v>
      </c>
      <c r="B35" s="5">
        <f>MasterSheet!C131</f>
        <v>0</v>
      </c>
      <c r="C35" s="5">
        <f>MasterSheet!D131</f>
        <v>0</v>
      </c>
      <c r="D35" s="5">
        <f>MasterSheet!E131</f>
        <v>0</v>
      </c>
      <c r="E35" s="5">
        <f>MasterSheet!G131</f>
        <v>0</v>
      </c>
      <c r="F35" s="5">
        <f>MasterSheet!I131</f>
        <v>0</v>
      </c>
      <c r="G35" s="5">
        <f>MasterSheet!K131</f>
        <v>0</v>
      </c>
      <c r="H35" s="5">
        <f>MasterSheet!M131</f>
        <v>0</v>
      </c>
      <c r="I35" s="5">
        <f>MasterSheet!O131</f>
        <v>0</v>
      </c>
      <c r="J35" s="5">
        <f>MasterSheet!Q131</f>
        <v>0</v>
      </c>
      <c r="K35" s="5">
        <f>MasterSheet!S131</f>
        <v>0</v>
      </c>
      <c r="L35" s="5">
        <f>MasterSheet!U131</f>
        <v>0</v>
      </c>
      <c r="M35" s="5">
        <f>MasterSheet!W131</f>
        <v>0</v>
      </c>
      <c r="N35" s="5">
        <f>MasterSheet!Y131</f>
        <v>0</v>
      </c>
      <c r="O35" s="5">
        <f>MasterSheet!AA131</f>
        <v>0</v>
      </c>
      <c r="P35" s="5">
        <f>MasterSheet!AB131</f>
        <v>0</v>
      </c>
      <c r="Q35" s="5">
        <f>MasterSheet!AC131</f>
        <v>0</v>
      </c>
      <c r="R35" s="5">
        <f>A35</f>
        <v>0</v>
      </c>
      <c r="S35" s="5">
        <f>B35</f>
        <v>0</v>
      </c>
      <c r="T35" s="5">
        <f>IF(D35&gt;=90,"امتياز",IF(D35&gt;=80,"جـيد جدا",IF(D35&gt;=70,"جـيد",IF(D35&gt;=60,"متوسط",IF(D35&gt;=50,"مقبول","راسب")))))</f>
        <v>0</v>
      </c>
      <c r="U35" s="5">
        <f>IF(E35&gt;=90,"امتياز",IF(E35&gt;=80,"جـيد جدا",IF(E35&gt;=70,"جـيد",IF(E35&gt;=60,"متوسط",IF(E35&gt;=50,"مقبول","راسب")))))</f>
        <v>0</v>
      </c>
      <c r="V35" s="5">
        <f>IF(F35&gt;=90,"امتياز",IF(F35&gt;=80,"جـيد جدا",IF(F35&gt;=70,"جـيد",IF(F35&gt;=60,"متوسط",IF(F35&gt;=50,"مقبول","راسب")))))</f>
        <v>0</v>
      </c>
      <c r="W35" s="5">
        <f>IF(G35&gt;=90,"امتياز",IF(G35&gt;=80,"جـيد جدا",IF(G35&gt;=70,"جـيد",IF(G35&gt;=60,"متوسط",IF(G35&gt;=50,"مقبول","راسب")))))</f>
        <v>0</v>
      </c>
      <c r="X35" s="5">
        <f>IF(H35&gt;=90,"امتياز",IF(H35&gt;=80,"جـيد جدا",IF(H35&gt;=70,"جـيد",IF(H35&gt;=60,"متوسط",IF(H35&gt;=50,"مقبول","راسب")))))</f>
        <v>0</v>
      </c>
      <c r="Y35" s="5">
        <f>IF(I35&gt;=90,"امتياز",IF(I35&gt;=80,"جـيد جدا",IF(I35&gt;=70,"جـيد",IF(I35&gt;=60,"متوسط",IF(I35&gt;=50,"مقبول","راسب")))))</f>
        <v>0</v>
      </c>
      <c r="Z35" s="5">
        <f>IF(J35&gt;=90,"امتياز",IF(J35&gt;=80,"جـيد جدا",IF(J35&gt;=70,"جـيد",IF(J35&gt;=60,"متوسط",IF(J35&gt;=50,"مقبول","راسب")))))</f>
        <v>0</v>
      </c>
      <c r="AA35" s="5">
        <f>IF(K35&gt;=90,"امتياز",IF(K35&gt;=80,"جـيد جدا",IF(K35&gt;=70,"جـيد",IF(K35&gt;=60,"متوسط",IF(K35&gt;=50,"مقبول","راسب")))))</f>
        <v>0</v>
      </c>
      <c r="AB35" s="5">
        <f>IF(L35&gt;=90,"امتياز",IF(L35&gt;=80,"جـيد جدا",IF(L35&gt;=70,"جـيد",IF(L35&gt;=60,"متوسط",IF(L35&gt;=50,"مقبول","راسب")))))</f>
        <v>0</v>
      </c>
      <c r="AC35" s="5">
        <f>IF(M35&gt;=90,"امتياز",IF(M35&gt;=80,"جـيد جدا",IF(M35&gt;=70,"جـيد",IF(M35&gt;=60,"متوسط",IF(M35&gt;=50,"مقبول","راسب")))))</f>
        <v>0</v>
      </c>
      <c r="AD35" s="5">
        <f>IF(N35&gt;=90,"امتياز",IF(N35&gt;=80,"جـيد جدا",IF(N35&gt;=70,"جـيد",IF(N35&gt;=60,"متوسط",IF(N35&gt;=50,"مقبول","راسب")))))</f>
        <v>0</v>
      </c>
      <c r="AE35" s="5">
        <f>MasterSheet!AA131</f>
        <v>0</v>
      </c>
      <c r="AF35" s="5">
        <f>MasterSheet!AB131</f>
        <v>0</v>
      </c>
      <c r="AG35" s="5">
        <f>MasterSheet!AC131</f>
        <v>0</v>
      </c>
      <c r="AL35" s="5">
        <f>IF(D35 &gt;=50,"P","F")</f>
        <v>0</v>
      </c>
      <c r="AM35" s="5">
        <f>IF(E35 &gt;=50,"P","F")</f>
        <v>0</v>
      </c>
      <c r="AN35" s="5">
        <f>IF(F35 &gt;=50,"P","F")</f>
        <v>0</v>
      </c>
      <c r="AO35" s="5">
        <f>IF(G35 &gt;=50,"P","F")</f>
        <v>0</v>
      </c>
      <c r="AP35" s="5">
        <f>IF(H35 &gt;=50,"P","F")</f>
        <v>0</v>
      </c>
      <c r="AQ35" s="5">
        <f>IF(I35 &gt;=50,"P","F")</f>
        <v>0</v>
      </c>
      <c r="AR35" s="5">
        <f>IF(J35 &gt;=50,"P","F")</f>
        <v>0</v>
      </c>
      <c r="AS35" s="5">
        <f>IF(K35 &gt;=50,"P","F")</f>
        <v>0</v>
      </c>
      <c r="AT35" s="5">
        <f>IF(L35 &gt;=50,"P","F")</f>
        <v>0</v>
      </c>
      <c r="AU35" s="5">
        <f>IF(M35 &gt;=50,"P","F")</f>
        <v>0</v>
      </c>
      <c r="AV35" s="5">
        <f>IF(N35 &gt;=50,"P","F")</f>
        <v>0</v>
      </c>
      <c r="AW35" s="5">
        <f>IF(AND(N35&gt;=50,N35&gt;=50,F35&gt;=50,G35&gt;=50,H35&gt;=50,I35&gt;=50,J35&gt;=50,K35&gt;=50,L35&gt;=50,M35&gt;=50),"P","F")</f>
        <v>0</v>
      </c>
    </row>
    <row r="36" spans="1:49">
      <c r="A36" s="5">
        <f>MasterSheet!B134</f>
        <v>0</v>
      </c>
      <c r="B36" s="5">
        <f>MasterSheet!C134</f>
        <v>0</v>
      </c>
      <c r="C36" s="5">
        <f>MasterSheet!D134</f>
        <v>0</v>
      </c>
      <c r="D36" s="5">
        <f>MasterSheet!E134</f>
        <v>0</v>
      </c>
      <c r="E36" s="5">
        <f>MasterSheet!G134</f>
        <v>0</v>
      </c>
      <c r="F36" s="5">
        <f>MasterSheet!I134</f>
        <v>0</v>
      </c>
      <c r="G36" s="5">
        <f>MasterSheet!K134</f>
        <v>0</v>
      </c>
      <c r="H36" s="5">
        <f>MasterSheet!M134</f>
        <v>0</v>
      </c>
      <c r="I36" s="5">
        <f>MasterSheet!O134</f>
        <v>0</v>
      </c>
      <c r="J36" s="5">
        <f>MasterSheet!Q134</f>
        <v>0</v>
      </c>
      <c r="K36" s="5">
        <f>MasterSheet!S134</f>
        <v>0</v>
      </c>
      <c r="L36" s="5">
        <f>MasterSheet!U134</f>
        <v>0</v>
      </c>
      <c r="M36" s="5">
        <f>MasterSheet!W134</f>
        <v>0</v>
      </c>
      <c r="N36" s="5">
        <f>MasterSheet!Y134</f>
        <v>0</v>
      </c>
      <c r="O36" s="5">
        <f>MasterSheet!AA134</f>
        <v>0</v>
      </c>
      <c r="P36" s="5">
        <f>MasterSheet!AB134</f>
        <v>0</v>
      </c>
      <c r="Q36" s="5">
        <f>MasterSheet!AC134</f>
        <v>0</v>
      </c>
      <c r="R36" s="5">
        <f>A36</f>
        <v>0</v>
      </c>
      <c r="S36" s="5">
        <f>B36</f>
        <v>0</v>
      </c>
      <c r="T36" s="5">
        <f>IF(D36&gt;=90,"امتياز",IF(D36&gt;=80,"جـيد جدا",IF(D36&gt;=70,"جـيد",IF(D36&gt;=60,"متوسط",IF(D36&gt;=50,"مقبول","راسب")))))</f>
        <v>0</v>
      </c>
      <c r="U36" s="5">
        <f>IF(E36&gt;=90,"امتياز",IF(E36&gt;=80,"جـيد جدا",IF(E36&gt;=70,"جـيد",IF(E36&gt;=60,"متوسط",IF(E36&gt;=50,"مقبول","راسب")))))</f>
        <v>0</v>
      </c>
      <c r="V36" s="5">
        <f>IF(F36&gt;=90,"امتياز",IF(F36&gt;=80,"جـيد جدا",IF(F36&gt;=70,"جـيد",IF(F36&gt;=60,"متوسط",IF(F36&gt;=50,"مقبول","راسب")))))</f>
        <v>0</v>
      </c>
      <c r="W36" s="5">
        <f>IF(G36&gt;=90,"امتياز",IF(G36&gt;=80,"جـيد جدا",IF(G36&gt;=70,"جـيد",IF(G36&gt;=60,"متوسط",IF(G36&gt;=50,"مقبول","راسب")))))</f>
        <v>0</v>
      </c>
      <c r="X36" s="5">
        <f>IF(H36&gt;=90,"امتياز",IF(H36&gt;=80,"جـيد جدا",IF(H36&gt;=70,"جـيد",IF(H36&gt;=60,"متوسط",IF(H36&gt;=50,"مقبول","راسب")))))</f>
        <v>0</v>
      </c>
      <c r="Y36" s="5">
        <f>IF(I36&gt;=90,"امتياز",IF(I36&gt;=80,"جـيد جدا",IF(I36&gt;=70,"جـيد",IF(I36&gt;=60,"متوسط",IF(I36&gt;=50,"مقبول","راسب")))))</f>
        <v>0</v>
      </c>
      <c r="Z36" s="5">
        <f>IF(J36&gt;=90,"امتياز",IF(J36&gt;=80,"جـيد جدا",IF(J36&gt;=70,"جـيد",IF(J36&gt;=60,"متوسط",IF(J36&gt;=50,"مقبول","راسب")))))</f>
        <v>0</v>
      </c>
      <c r="AA36" s="5">
        <f>IF(K36&gt;=90,"امتياز",IF(K36&gt;=80,"جـيد جدا",IF(K36&gt;=70,"جـيد",IF(K36&gt;=60,"متوسط",IF(K36&gt;=50,"مقبول","راسب")))))</f>
        <v>0</v>
      </c>
      <c r="AB36" s="5">
        <f>IF(L36&gt;=90,"امتياز",IF(L36&gt;=80,"جـيد جدا",IF(L36&gt;=70,"جـيد",IF(L36&gt;=60,"متوسط",IF(L36&gt;=50,"مقبول","راسب")))))</f>
        <v>0</v>
      </c>
      <c r="AC36" s="5">
        <f>IF(M36&gt;=90,"امتياز",IF(M36&gt;=80,"جـيد جدا",IF(M36&gt;=70,"جـيد",IF(M36&gt;=60,"متوسط",IF(M36&gt;=50,"مقبول","راسب")))))</f>
        <v>0</v>
      </c>
      <c r="AD36" s="5">
        <f>IF(N36&gt;=90,"امتياز",IF(N36&gt;=80,"جـيد جدا",IF(N36&gt;=70,"جـيد",IF(N36&gt;=60,"متوسط",IF(N36&gt;=50,"مقبول","راسب")))))</f>
        <v>0</v>
      </c>
      <c r="AE36" s="5">
        <f>MasterSheet!AA134</f>
        <v>0</v>
      </c>
      <c r="AF36" s="5">
        <f>MasterSheet!AB134</f>
        <v>0</v>
      </c>
      <c r="AG36" s="5">
        <f>MasterSheet!AC134</f>
        <v>0</v>
      </c>
      <c r="AL36" s="5">
        <f>IF(D36 &gt;=50,"P","F")</f>
        <v>0</v>
      </c>
      <c r="AM36" s="5">
        <f>IF(E36 &gt;=50,"P","F")</f>
        <v>0</v>
      </c>
      <c r="AN36" s="5">
        <f>IF(F36 &gt;=50,"P","F")</f>
        <v>0</v>
      </c>
      <c r="AO36" s="5">
        <f>IF(G36 &gt;=50,"P","F")</f>
        <v>0</v>
      </c>
      <c r="AP36" s="5">
        <f>IF(H36 &gt;=50,"P","F")</f>
        <v>0</v>
      </c>
      <c r="AQ36" s="5">
        <f>IF(I36 &gt;=50,"P","F")</f>
        <v>0</v>
      </c>
      <c r="AR36" s="5">
        <f>IF(J36 &gt;=50,"P","F")</f>
        <v>0</v>
      </c>
      <c r="AS36" s="5">
        <f>IF(K36 &gt;=50,"P","F")</f>
        <v>0</v>
      </c>
      <c r="AT36" s="5">
        <f>IF(L36 &gt;=50,"P","F")</f>
        <v>0</v>
      </c>
      <c r="AU36" s="5">
        <f>IF(M36 &gt;=50,"P","F")</f>
        <v>0</v>
      </c>
      <c r="AV36" s="5">
        <f>IF(N36 &gt;=50,"P","F")</f>
        <v>0</v>
      </c>
      <c r="AW36" s="5">
        <f>IF(AND(N36&gt;=50,N36&gt;=50,F36&gt;=50,G36&gt;=50,H36&gt;=50,I36&gt;=50,J36&gt;=50,K36&gt;=50,L36&gt;=50,M36&gt;=50),"P","F")</f>
        <v>0</v>
      </c>
    </row>
    <row r="37" spans="1:49">
      <c r="A37" s="5">
        <f>MasterSheet!B157</f>
        <v>0</v>
      </c>
      <c r="B37" s="5">
        <f>MasterSheet!C157</f>
        <v>0</v>
      </c>
      <c r="C37" s="5">
        <f>MasterSheet!D157</f>
        <v>0</v>
      </c>
      <c r="D37" s="5">
        <f>MasterSheet!E157</f>
        <v>0</v>
      </c>
      <c r="E37" s="5">
        <f>MasterSheet!G157</f>
        <v>0</v>
      </c>
      <c r="F37" s="5">
        <f>MasterSheet!I157</f>
        <v>0</v>
      </c>
      <c r="G37" s="5">
        <f>MasterSheet!K157</f>
        <v>0</v>
      </c>
      <c r="H37" s="5">
        <f>MasterSheet!M157</f>
        <v>0</v>
      </c>
      <c r="I37" s="5">
        <f>MasterSheet!O157</f>
        <v>0</v>
      </c>
      <c r="J37" s="5">
        <f>MasterSheet!Q157</f>
        <v>0</v>
      </c>
      <c r="K37" s="5">
        <f>MasterSheet!S157</f>
        <v>0</v>
      </c>
      <c r="L37" s="5">
        <f>MasterSheet!U157</f>
        <v>0</v>
      </c>
      <c r="M37" s="5">
        <f>MasterSheet!W157</f>
        <v>0</v>
      </c>
      <c r="N37" s="5">
        <f>MasterSheet!Y157</f>
        <v>0</v>
      </c>
      <c r="O37" s="5">
        <f>MasterSheet!AA157</f>
        <v>0</v>
      </c>
      <c r="P37" s="5">
        <f>MasterSheet!AB157</f>
        <v>0</v>
      </c>
      <c r="Q37" s="5">
        <f>MasterSheet!AC157</f>
        <v>0</v>
      </c>
      <c r="R37" s="5">
        <f>A37</f>
        <v>0</v>
      </c>
      <c r="S37" s="5">
        <f>B37</f>
        <v>0</v>
      </c>
      <c r="T37" s="5">
        <f>IF(D37&gt;=90,"امتياز",IF(D37&gt;=80,"جـيد جدا",IF(D37&gt;=70,"جـيد",IF(D37&gt;=60,"متوسط",IF(D37&gt;=50,"مقبول","راسب")))))</f>
        <v>0</v>
      </c>
      <c r="U37" s="5">
        <f>IF(E37&gt;=90,"امتياز",IF(E37&gt;=80,"جـيد جدا",IF(E37&gt;=70,"جـيد",IF(E37&gt;=60,"متوسط",IF(E37&gt;=50,"مقبول","راسب")))))</f>
        <v>0</v>
      </c>
      <c r="V37" s="5">
        <f>IF(F37&gt;=90,"امتياز",IF(F37&gt;=80,"جـيد جدا",IF(F37&gt;=70,"جـيد",IF(F37&gt;=60,"متوسط",IF(F37&gt;=50,"مقبول","راسب")))))</f>
        <v>0</v>
      </c>
      <c r="W37" s="5">
        <f>IF(G37&gt;=90,"امتياز",IF(G37&gt;=80,"جـيد جدا",IF(G37&gt;=70,"جـيد",IF(G37&gt;=60,"متوسط",IF(G37&gt;=50,"مقبول","راسب")))))</f>
        <v>0</v>
      </c>
      <c r="X37" s="5">
        <f>IF(H37&gt;=90,"امتياز",IF(H37&gt;=80,"جـيد جدا",IF(H37&gt;=70,"جـيد",IF(H37&gt;=60,"متوسط",IF(H37&gt;=50,"مقبول","راسب")))))</f>
        <v>0</v>
      </c>
      <c r="Y37" s="5">
        <f>IF(I37&gt;=90,"امتياز",IF(I37&gt;=80,"جـيد جدا",IF(I37&gt;=70,"جـيد",IF(I37&gt;=60,"متوسط",IF(I37&gt;=50,"مقبول","راسب")))))</f>
        <v>0</v>
      </c>
      <c r="Z37" s="5">
        <f>IF(J37&gt;=90,"امتياز",IF(J37&gt;=80,"جـيد جدا",IF(J37&gt;=70,"جـيد",IF(J37&gt;=60,"متوسط",IF(J37&gt;=50,"مقبول","راسب")))))</f>
        <v>0</v>
      </c>
      <c r="AA37" s="5">
        <f>IF(K37&gt;=90,"امتياز",IF(K37&gt;=80,"جـيد جدا",IF(K37&gt;=70,"جـيد",IF(K37&gt;=60,"متوسط",IF(K37&gt;=50,"مقبول","راسب")))))</f>
        <v>0</v>
      </c>
      <c r="AB37" s="5">
        <f>IF(L37&gt;=90,"امتياز",IF(L37&gt;=80,"جـيد جدا",IF(L37&gt;=70,"جـيد",IF(L37&gt;=60,"متوسط",IF(L37&gt;=50,"مقبول","راسب")))))</f>
        <v>0</v>
      </c>
      <c r="AC37" s="5">
        <f>IF(M37&gt;=90,"امتياز",IF(M37&gt;=80,"جـيد جدا",IF(M37&gt;=70,"جـيد",IF(M37&gt;=60,"متوسط",IF(M37&gt;=50,"مقبول","راسب")))))</f>
        <v>0</v>
      </c>
      <c r="AD37" s="5">
        <f>IF(N37&gt;=90,"امتياز",IF(N37&gt;=80,"جـيد جدا",IF(N37&gt;=70,"جـيد",IF(N37&gt;=60,"متوسط",IF(N37&gt;=50,"مقبول","راسب")))))</f>
        <v>0</v>
      </c>
      <c r="AE37" s="5">
        <f>MasterSheet!AA157</f>
        <v>0</v>
      </c>
      <c r="AF37" s="5">
        <f>MasterSheet!AB157</f>
        <v>0</v>
      </c>
      <c r="AG37" s="5">
        <f>MasterSheet!AC157</f>
        <v>0</v>
      </c>
      <c r="AL37" s="5">
        <f>IF(D37 &gt;=50,"P","F")</f>
        <v>0</v>
      </c>
      <c r="AM37" s="5">
        <f>IF(E37 &gt;=50,"P","F")</f>
        <v>0</v>
      </c>
      <c r="AN37" s="5">
        <f>IF(F37 &gt;=50,"P","F")</f>
        <v>0</v>
      </c>
      <c r="AO37" s="5">
        <f>IF(G37 &gt;=50,"P","F")</f>
        <v>0</v>
      </c>
      <c r="AP37" s="5">
        <f>IF(H37 &gt;=50,"P","F")</f>
        <v>0</v>
      </c>
      <c r="AQ37" s="5">
        <f>IF(I37 &gt;=50,"P","F")</f>
        <v>0</v>
      </c>
      <c r="AR37" s="5">
        <f>IF(J37 &gt;=50,"P","F")</f>
        <v>0</v>
      </c>
      <c r="AS37" s="5">
        <f>IF(K37 &gt;=50,"P","F")</f>
        <v>0</v>
      </c>
      <c r="AT37" s="5">
        <f>IF(L37 &gt;=50,"P","F")</f>
        <v>0</v>
      </c>
      <c r="AU37" s="5">
        <f>IF(M37 &gt;=50,"P","F")</f>
        <v>0</v>
      </c>
      <c r="AV37" s="5">
        <f>IF(N37 &gt;=50,"P","F")</f>
        <v>0</v>
      </c>
      <c r="AW37" s="5">
        <f>IF(AND(N37&gt;=50,N37&gt;=50,F37&gt;=50,G37&gt;=50,H37&gt;=50,I37&gt;=50,J37&gt;=50,K37&gt;=50,L37&gt;=50,M37&gt;=50),"P","F")</f>
        <v>0</v>
      </c>
    </row>
    <row r="38" spans="1:49">
      <c r="A38" s="5">
        <f>MasterSheet!B160</f>
        <v>0</v>
      </c>
      <c r="B38" s="5">
        <f>MasterSheet!C160</f>
        <v>0</v>
      </c>
      <c r="C38" s="5">
        <f>MasterSheet!D160</f>
        <v>0</v>
      </c>
      <c r="D38" s="5">
        <f>MasterSheet!E160</f>
        <v>0</v>
      </c>
      <c r="E38" s="5">
        <f>MasterSheet!G160</f>
        <v>0</v>
      </c>
      <c r="F38" s="5">
        <f>MasterSheet!I160</f>
        <v>0</v>
      </c>
      <c r="G38" s="5">
        <f>MasterSheet!K160</f>
        <v>0</v>
      </c>
      <c r="H38" s="5">
        <f>MasterSheet!M160</f>
        <v>0</v>
      </c>
      <c r="I38" s="5">
        <f>MasterSheet!O160</f>
        <v>0</v>
      </c>
      <c r="J38" s="5">
        <f>MasterSheet!Q160</f>
        <v>0</v>
      </c>
      <c r="K38" s="5">
        <f>MasterSheet!S160</f>
        <v>0</v>
      </c>
      <c r="L38" s="5">
        <f>MasterSheet!U160</f>
        <v>0</v>
      </c>
      <c r="M38" s="5">
        <f>MasterSheet!W160</f>
        <v>0</v>
      </c>
      <c r="N38" s="5">
        <f>MasterSheet!Y160</f>
        <v>0</v>
      </c>
      <c r="O38" s="5">
        <f>MasterSheet!AA160</f>
        <v>0</v>
      </c>
      <c r="P38" s="5">
        <f>MasterSheet!AB160</f>
        <v>0</v>
      </c>
      <c r="Q38" s="5">
        <f>MasterSheet!AC160</f>
        <v>0</v>
      </c>
      <c r="R38" s="5">
        <f>A38</f>
        <v>0</v>
      </c>
      <c r="S38" s="5">
        <f>B38</f>
        <v>0</v>
      </c>
      <c r="T38" s="5">
        <f>IF(D38&gt;=90,"امتياز",IF(D38&gt;=80,"جـيد جدا",IF(D38&gt;=70,"جـيد",IF(D38&gt;=60,"متوسط",IF(D38&gt;=50,"مقبول","راسب")))))</f>
        <v>0</v>
      </c>
      <c r="U38" s="5">
        <f>IF(E38&gt;=90,"امتياز",IF(E38&gt;=80,"جـيد جدا",IF(E38&gt;=70,"جـيد",IF(E38&gt;=60,"متوسط",IF(E38&gt;=50,"مقبول","راسب")))))</f>
        <v>0</v>
      </c>
      <c r="V38" s="5">
        <f>IF(F38&gt;=90,"امتياز",IF(F38&gt;=80,"جـيد جدا",IF(F38&gt;=70,"جـيد",IF(F38&gt;=60,"متوسط",IF(F38&gt;=50,"مقبول","راسب")))))</f>
        <v>0</v>
      </c>
      <c r="W38" s="5">
        <f>IF(G38&gt;=90,"امتياز",IF(G38&gt;=80,"جـيد جدا",IF(G38&gt;=70,"جـيد",IF(G38&gt;=60,"متوسط",IF(G38&gt;=50,"مقبول","راسب")))))</f>
        <v>0</v>
      </c>
      <c r="X38" s="5">
        <f>IF(H38&gt;=90,"امتياز",IF(H38&gt;=80,"جـيد جدا",IF(H38&gt;=70,"جـيد",IF(H38&gt;=60,"متوسط",IF(H38&gt;=50,"مقبول","راسب")))))</f>
        <v>0</v>
      </c>
      <c r="Y38" s="5">
        <f>IF(I38&gt;=90,"امتياز",IF(I38&gt;=80,"جـيد جدا",IF(I38&gt;=70,"جـيد",IF(I38&gt;=60,"متوسط",IF(I38&gt;=50,"مقبول","راسب")))))</f>
        <v>0</v>
      </c>
      <c r="Z38" s="5">
        <f>IF(J38&gt;=90,"امتياز",IF(J38&gt;=80,"جـيد جدا",IF(J38&gt;=70,"جـيد",IF(J38&gt;=60,"متوسط",IF(J38&gt;=50,"مقبول","راسب")))))</f>
        <v>0</v>
      </c>
      <c r="AA38" s="5">
        <f>IF(K38&gt;=90,"امتياز",IF(K38&gt;=80,"جـيد جدا",IF(K38&gt;=70,"جـيد",IF(K38&gt;=60,"متوسط",IF(K38&gt;=50,"مقبول","راسب")))))</f>
        <v>0</v>
      </c>
      <c r="AB38" s="5">
        <f>IF(L38&gt;=90,"امتياز",IF(L38&gt;=80,"جـيد جدا",IF(L38&gt;=70,"جـيد",IF(L38&gt;=60,"متوسط",IF(L38&gt;=50,"مقبول","راسب")))))</f>
        <v>0</v>
      </c>
      <c r="AC38" s="5">
        <f>IF(M38&gt;=90,"امتياز",IF(M38&gt;=80,"جـيد جدا",IF(M38&gt;=70,"جـيد",IF(M38&gt;=60,"متوسط",IF(M38&gt;=50,"مقبول","راسب")))))</f>
        <v>0</v>
      </c>
      <c r="AD38" s="5">
        <f>IF(N38&gt;=90,"امتياز",IF(N38&gt;=80,"جـيد جدا",IF(N38&gt;=70,"جـيد",IF(N38&gt;=60,"متوسط",IF(N38&gt;=50,"مقبول","راسب")))))</f>
        <v>0</v>
      </c>
      <c r="AE38" s="5">
        <f>MasterSheet!AA160</f>
        <v>0</v>
      </c>
      <c r="AF38" s="5">
        <f>MasterSheet!AB160</f>
        <v>0</v>
      </c>
      <c r="AG38" s="5">
        <f>MasterSheet!AC160</f>
        <v>0</v>
      </c>
      <c r="AL38" s="5">
        <f>IF(D38 &gt;=50,"P","F")</f>
        <v>0</v>
      </c>
      <c r="AM38" s="5">
        <f>IF(E38 &gt;=50,"P","F")</f>
        <v>0</v>
      </c>
      <c r="AN38" s="5">
        <f>IF(F38 &gt;=50,"P","F")</f>
        <v>0</v>
      </c>
      <c r="AO38" s="5">
        <f>IF(G38 &gt;=50,"P","F")</f>
        <v>0</v>
      </c>
      <c r="AP38" s="5">
        <f>IF(H38 &gt;=50,"P","F")</f>
        <v>0</v>
      </c>
      <c r="AQ38" s="5">
        <f>IF(I38 &gt;=50,"P","F")</f>
        <v>0</v>
      </c>
      <c r="AR38" s="5">
        <f>IF(J38 &gt;=50,"P","F")</f>
        <v>0</v>
      </c>
      <c r="AS38" s="5">
        <f>IF(K38 &gt;=50,"P","F")</f>
        <v>0</v>
      </c>
      <c r="AT38" s="5">
        <f>IF(L38 &gt;=50,"P","F")</f>
        <v>0</v>
      </c>
      <c r="AU38" s="5">
        <f>IF(M38 &gt;=50,"P","F")</f>
        <v>0</v>
      </c>
      <c r="AV38" s="5">
        <f>IF(N38 &gt;=50,"P","F")</f>
        <v>0</v>
      </c>
      <c r="AW38" s="5">
        <f>IF(AND(N38&gt;=50,N38&gt;=50,F38&gt;=50,G38&gt;=50,H38&gt;=50,I38&gt;=50,J38&gt;=50,K38&gt;=50,L38&gt;=50,M38&gt;=50),"P","F")</f>
        <v>0</v>
      </c>
    </row>
    <row r="39" spans="1:49">
      <c r="A39" s="5">
        <f>MasterSheet!B163</f>
        <v>0</v>
      </c>
      <c r="B39" s="5">
        <f>MasterSheet!C163</f>
        <v>0</v>
      </c>
      <c r="C39" s="5">
        <f>MasterSheet!D163</f>
        <v>0</v>
      </c>
      <c r="D39" s="5">
        <f>MasterSheet!E163</f>
        <v>0</v>
      </c>
      <c r="E39" s="5">
        <f>MasterSheet!G163</f>
        <v>0</v>
      </c>
      <c r="F39" s="5">
        <f>MasterSheet!I163</f>
        <v>0</v>
      </c>
      <c r="G39" s="5">
        <f>MasterSheet!K163</f>
        <v>0</v>
      </c>
      <c r="H39" s="5">
        <f>MasterSheet!M163</f>
        <v>0</v>
      </c>
      <c r="I39" s="5">
        <f>MasterSheet!O163</f>
        <v>0</v>
      </c>
      <c r="J39" s="5">
        <f>MasterSheet!Q163</f>
        <v>0</v>
      </c>
      <c r="K39" s="5">
        <f>MasterSheet!S163</f>
        <v>0</v>
      </c>
      <c r="L39" s="5">
        <f>MasterSheet!U163</f>
        <v>0</v>
      </c>
      <c r="M39" s="5">
        <f>MasterSheet!W163</f>
        <v>0</v>
      </c>
      <c r="N39" s="5">
        <f>MasterSheet!Y163</f>
        <v>0</v>
      </c>
      <c r="O39" s="5">
        <f>MasterSheet!AA163</f>
        <v>0</v>
      </c>
      <c r="P39" s="5">
        <f>MasterSheet!AB163</f>
        <v>0</v>
      </c>
      <c r="Q39" s="5">
        <f>MasterSheet!AC163</f>
        <v>0</v>
      </c>
      <c r="R39" s="5">
        <f>A39</f>
        <v>0</v>
      </c>
      <c r="S39" s="5">
        <f>B39</f>
        <v>0</v>
      </c>
      <c r="T39" s="5">
        <f>IF(D39&gt;=90,"امتياز",IF(D39&gt;=80,"جـيد جدا",IF(D39&gt;=70,"جـيد",IF(D39&gt;=60,"متوسط",IF(D39&gt;=50,"مقبول","راسب")))))</f>
        <v>0</v>
      </c>
      <c r="U39" s="5">
        <f>IF(E39&gt;=90,"امتياز",IF(E39&gt;=80,"جـيد جدا",IF(E39&gt;=70,"جـيد",IF(E39&gt;=60,"متوسط",IF(E39&gt;=50,"مقبول","راسب")))))</f>
        <v>0</v>
      </c>
      <c r="V39" s="5">
        <f>IF(F39&gt;=90,"امتياز",IF(F39&gt;=80,"جـيد جدا",IF(F39&gt;=70,"جـيد",IF(F39&gt;=60,"متوسط",IF(F39&gt;=50,"مقبول","راسب")))))</f>
        <v>0</v>
      </c>
      <c r="W39" s="5">
        <f>IF(G39&gt;=90,"امتياز",IF(G39&gt;=80,"جـيد جدا",IF(G39&gt;=70,"جـيد",IF(G39&gt;=60,"متوسط",IF(G39&gt;=50,"مقبول","راسب")))))</f>
        <v>0</v>
      </c>
      <c r="X39" s="5">
        <f>IF(H39&gt;=90,"امتياز",IF(H39&gt;=80,"جـيد جدا",IF(H39&gt;=70,"جـيد",IF(H39&gt;=60,"متوسط",IF(H39&gt;=50,"مقبول","راسب")))))</f>
        <v>0</v>
      </c>
      <c r="Y39" s="5">
        <f>IF(I39&gt;=90,"امتياز",IF(I39&gt;=80,"جـيد جدا",IF(I39&gt;=70,"جـيد",IF(I39&gt;=60,"متوسط",IF(I39&gt;=50,"مقبول","راسب")))))</f>
        <v>0</v>
      </c>
      <c r="Z39" s="5">
        <f>IF(J39&gt;=90,"امتياز",IF(J39&gt;=80,"جـيد جدا",IF(J39&gt;=70,"جـيد",IF(J39&gt;=60,"متوسط",IF(J39&gt;=50,"مقبول","راسب")))))</f>
        <v>0</v>
      </c>
      <c r="AA39" s="5">
        <f>IF(K39&gt;=90,"امتياز",IF(K39&gt;=80,"جـيد جدا",IF(K39&gt;=70,"جـيد",IF(K39&gt;=60,"متوسط",IF(K39&gt;=50,"مقبول","راسب")))))</f>
        <v>0</v>
      </c>
      <c r="AB39" s="5">
        <f>IF(L39&gt;=90,"امتياز",IF(L39&gt;=80,"جـيد جدا",IF(L39&gt;=70,"جـيد",IF(L39&gt;=60,"متوسط",IF(L39&gt;=50,"مقبول","راسب")))))</f>
        <v>0</v>
      </c>
      <c r="AC39" s="5">
        <f>IF(M39&gt;=90,"امتياز",IF(M39&gt;=80,"جـيد جدا",IF(M39&gt;=70,"جـيد",IF(M39&gt;=60,"متوسط",IF(M39&gt;=50,"مقبول","راسب")))))</f>
        <v>0</v>
      </c>
      <c r="AD39" s="5">
        <f>IF(N39&gt;=90,"امتياز",IF(N39&gt;=80,"جـيد جدا",IF(N39&gt;=70,"جـيد",IF(N39&gt;=60,"متوسط",IF(N39&gt;=50,"مقبول","راسب")))))</f>
        <v>0</v>
      </c>
      <c r="AE39" s="5">
        <f>MasterSheet!AA163</f>
        <v>0</v>
      </c>
      <c r="AF39" s="5">
        <f>MasterSheet!AB163</f>
        <v>0</v>
      </c>
      <c r="AG39" s="5">
        <f>MasterSheet!AC163</f>
        <v>0</v>
      </c>
      <c r="AL39" s="5">
        <f>IF(D39 &gt;=50,"P","F")</f>
        <v>0</v>
      </c>
      <c r="AM39" s="5">
        <f>IF(E39 &gt;=50,"P","F")</f>
        <v>0</v>
      </c>
      <c r="AN39" s="5">
        <f>IF(F39 &gt;=50,"P","F")</f>
        <v>0</v>
      </c>
      <c r="AO39" s="5">
        <f>IF(G39 &gt;=50,"P","F")</f>
        <v>0</v>
      </c>
      <c r="AP39" s="5">
        <f>IF(H39 &gt;=50,"P","F")</f>
        <v>0</v>
      </c>
      <c r="AQ39" s="5">
        <f>IF(I39 &gt;=50,"P","F")</f>
        <v>0</v>
      </c>
      <c r="AR39" s="5">
        <f>IF(J39 &gt;=50,"P","F")</f>
        <v>0</v>
      </c>
      <c r="AS39" s="5">
        <f>IF(K39 &gt;=50,"P","F")</f>
        <v>0</v>
      </c>
      <c r="AT39" s="5">
        <f>IF(L39 &gt;=50,"P","F")</f>
        <v>0</v>
      </c>
      <c r="AU39" s="5">
        <f>IF(M39 &gt;=50,"P","F")</f>
        <v>0</v>
      </c>
      <c r="AV39" s="5">
        <f>IF(N39 &gt;=50,"P","F")</f>
        <v>0</v>
      </c>
      <c r="AW39" s="5">
        <f>IF(AND(N39&gt;=50,N39&gt;=50,F39&gt;=50,G39&gt;=50,H39&gt;=50,I39&gt;=50,J39&gt;=50,K39&gt;=50,L39&gt;=50,M39&gt;=50),"P","F")</f>
        <v>0</v>
      </c>
    </row>
    <row r="40" spans="1:49">
      <c r="A40" s="5">
        <f>MasterSheet!B166</f>
        <v>0</v>
      </c>
      <c r="B40" s="5">
        <f>MasterSheet!C166</f>
        <v>0</v>
      </c>
      <c r="C40" s="5">
        <f>MasterSheet!D166</f>
        <v>0</v>
      </c>
      <c r="D40" s="5">
        <f>MasterSheet!E166</f>
        <v>0</v>
      </c>
      <c r="E40" s="5">
        <f>MasterSheet!G166</f>
        <v>0</v>
      </c>
      <c r="F40" s="5">
        <f>MasterSheet!I166</f>
        <v>0</v>
      </c>
      <c r="G40" s="5">
        <f>MasterSheet!K166</f>
        <v>0</v>
      </c>
      <c r="H40" s="5">
        <f>MasterSheet!M166</f>
        <v>0</v>
      </c>
      <c r="I40" s="5">
        <f>MasterSheet!O166</f>
        <v>0</v>
      </c>
      <c r="J40" s="5">
        <f>MasterSheet!Q166</f>
        <v>0</v>
      </c>
      <c r="K40" s="5">
        <f>MasterSheet!S166</f>
        <v>0</v>
      </c>
      <c r="L40" s="5">
        <f>MasterSheet!U166</f>
        <v>0</v>
      </c>
      <c r="M40" s="5">
        <f>MasterSheet!W166</f>
        <v>0</v>
      </c>
      <c r="N40" s="5">
        <f>MasterSheet!Y166</f>
        <v>0</v>
      </c>
      <c r="O40" s="5">
        <f>MasterSheet!AA166</f>
        <v>0</v>
      </c>
      <c r="P40" s="5">
        <f>MasterSheet!AB166</f>
        <v>0</v>
      </c>
      <c r="Q40" s="5">
        <f>MasterSheet!AC166</f>
        <v>0</v>
      </c>
      <c r="R40" s="5">
        <f>A40</f>
        <v>0</v>
      </c>
      <c r="S40" s="5">
        <f>B40</f>
        <v>0</v>
      </c>
      <c r="T40" s="5">
        <f>IF(D40&gt;=90,"امتياز",IF(D40&gt;=80,"جـيد جدا",IF(D40&gt;=70,"جـيد",IF(D40&gt;=60,"متوسط",IF(D40&gt;=50,"مقبول","راسب")))))</f>
        <v>0</v>
      </c>
      <c r="U40" s="5">
        <f>IF(E40&gt;=90,"امتياز",IF(E40&gt;=80,"جـيد جدا",IF(E40&gt;=70,"جـيد",IF(E40&gt;=60,"متوسط",IF(E40&gt;=50,"مقبول","راسب")))))</f>
        <v>0</v>
      </c>
      <c r="V40" s="5">
        <f>IF(F40&gt;=90,"امتياز",IF(F40&gt;=80,"جـيد جدا",IF(F40&gt;=70,"جـيد",IF(F40&gt;=60,"متوسط",IF(F40&gt;=50,"مقبول","راسب")))))</f>
        <v>0</v>
      </c>
      <c r="W40" s="5">
        <f>IF(G40&gt;=90,"امتياز",IF(G40&gt;=80,"جـيد جدا",IF(G40&gt;=70,"جـيد",IF(G40&gt;=60,"متوسط",IF(G40&gt;=50,"مقبول","راسب")))))</f>
        <v>0</v>
      </c>
      <c r="X40" s="5">
        <f>IF(H40&gt;=90,"امتياز",IF(H40&gt;=80,"جـيد جدا",IF(H40&gt;=70,"جـيد",IF(H40&gt;=60,"متوسط",IF(H40&gt;=50,"مقبول","راسب")))))</f>
        <v>0</v>
      </c>
      <c r="Y40" s="5">
        <f>IF(I40&gt;=90,"امتياز",IF(I40&gt;=80,"جـيد جدا",IF(I40&gt;=70,"جـيد",IF(I40&gt;=60,"متوسط",IF(I40&gt;=50,"مقبول","راسب")))))</f>
        <v>0</v>
      </c>
      <c r="Z40" s="5">
        <f>IF(J40&gt;=90,"امتياز",IF(J40&gt;=80,"جـيد جدا",IF(J40&gt;=70,"جـيد",IF(J40&gt;=60,"متوسط",IF(J40&gt;=50,"مقبول","راسب")))))</f>
        <v>0</v>
      </c>
      <c r="AA40" s="5">
        <f>IF(K40&gt;=90,"امتياز",IF(K40&gt;=80,"جـيد جدا",IF(K40&gt;=70,"جـيد",IF(K40&gt;=60,"متوسط",IF(K40&gt;=50,"مقبول","راسب")))))</f>
        <v>0</v>
      </c>
      <c r="AB40" s="5">
        <f>IF(L40&gt;=90,"امتياز",IF(L40&gt;=80,"جـيد جدا",IF(L40&gt;=70,"جـيد",IF(L40&gt;=60,"متوسط",IF(L40&gt;=50,"مقبول","راسب")))))</f>
        <v>0</v>
      </c>
      <c r="AC40" s="5">
        <f>IF(M40&gt;=90,"امتياز",IF(M40&gt;=80,"جـيد جدا",IF(M40&gt;=70,"جـيد",IF(M40&gt;=60,"متوسط",IF(M40&gt;=50,"مقبول","راسب")))))</f>
        <v>0</v>
      </c>
      <c r="AD40" s="5">
        <f>IF(N40&gt;=90,"امتياز",IF(N40&gt;=80,"جـيد جدا",IF(N40&gt;=70,"جـيد",IF(N40&gt;=60,"متوسط",IF(N40&gt;=50,"مقبول","راسب")))))</f>
        <v>0</v>
      </c>
      <c r="AE40" s="5">
        <f>MasterSheet!AA166</f>
        <v>0</v>
      </c>
      <c r="AF40" s="5">
        <f>MasterSheet!AB166</f>
        <v>0</v>
      </c>
      <c r="AG40" s="5">
        <f>MasterSheet!AC166</f>
        <v>0</v>
      </c>
      <c r="AL40" s="5">
        <f>IF(D40 &gt;=50,"P","F")</f>
        <v>0</v>
      </c>
      <c r="AM40" s="5">
        <f>IF(E40 &gt;=50,"P","F")</f>
        <v>0</v>
      </c>
      <c r="AN40" s="5">
        <f>IF(F40 &gt;=50,"P","F")</f>
        <v>0</v>
      </c>
      <c r="AO40" s="5">
        <f>IF(G40 &gt;=50,"P","F")</f>
        <v>0</v>
      </c>
      <c r="AP40" s="5">
        <f>IF(H40 &gt;=50,"P","F")</f>
        <v>0</v>
      </c>
      <c r="AQ40" s="5">
        <f>IF(I40 &gt;=50,"P","F")</f>
        <v>0</v>
      </c>
      <c r="AR40" s="5">
        <f>IF(J40 &gt;=50,"P","F")</f>
        <v>0</v>
      </c>
      <c r="AS40" s="5">
        <f>IF(K40 &gt;=50,"P","F")</f>
        <v>0</v>
      </c>
      <c r="AT40" s="5">
        <f>IF(L40 &gt;=50,"P","F")</f>
        <v>0</v>
      </c>
      <c r="AU40" s="5">
        <f>IF(M40 &gt;=50,"P","F")</f>
        <v>0</v>
      </c>
      <c r="AV40" s="5">
        <f>IF(N40 &gt;=50,"P","F")</f>
        <v>0</v>
      </c>
      <c r="AW40" s="5">
        <f>IF(AND(N40&gt;=50,N40&gt;=50,F40&gt;=50,G40&gt;=50,H40&gt;=50,I40&gt;=50,J40&gt;=50,K40&gt;=50,L40&gt;=50,M40&gt;=50),"P","F")</f>
        <v>0</v>
      </c>
    </row>
    <row r="41" spans="1:49">
      <c r="A41" s="5">
        <f>MasterSheet!B169</f>
        <v>0</v>
      </c>
      <c r="B41" s="5">
        <f>MasterSheet!C169</f>
        <v>0</v>
      </c>
      <c r="C41" s="5">
        <f>MasterSheet!D169</f>
        <v>0</v>
      </c>
      <c r="D41" s="5">
        <f>MasterSheet!E169</f>
        <v>0</v>
      </c>
      <c r="E41" s="5">
        <f>MasterSheet!G169</f>
        <v>0</v>
      </c>
      <c r="F41" s="5">
        <f>MasterSheet!I169</f>
        <v>0</v>
      </c>
      <c r="G41" s="5">
        <f>MasterSheet!K169</f>
        <v>0</v>
      </c>
      <c r="H41" s="5">
        <f>MasterSheet!M169</f>
        <v>0</v>
      </c>
      <c r="I41" s="5">
        <f>MasterSheet!O169</f>
        <v>0</v>
      </c>
      <c r="J41" s="5">
        <f>MasterSheet!Q169</f>
        <v>0</v>
      </c>
      <c r="K41" s="5">
        <f>MasterSheet!S169</f>
        <v>0</v>
      </c>
      <c r="L41" s="5">
        <f>MasterSheet!U169</f>
        <v>0</v>
      </c>
      <c r="M41" s="5">
        <f>MasterSheet!W169</f>
        <v>0</v>
      </c>
      <c r="N41" s="5">
        <f>MasterSheet!Y169</f>
        <v>0</v>
      </c>
      <c r="O41" s="5">
        <f>MasterSheet!AA169</f>
        <v>0</v>
      </c>
      <c r="P41" s="5">
        <f>MasterSheet!AB169</f>
        <v>0</v>
      </c>
      <c r="Q41" s="5">
        <f>MasterSheet!AC169</f>
        <v>0</v>
      </c>
      <c r="R41" s="5">
        <f>A41</f>
        <v>0</v>
      </c>
      <c r="S41" s="5">
        <f>B41</f>
        <v>0</v>
      </c>
      <c r="T41" s="5">
        <f>IF(D41&gt;=90,"امتياز",IF(D41&gt;=80,"جـيد جدا",IF(D41&gt;=70,"جـيد",IF(D41&gt;=60,"متوسط",IF(D41&gt;=50,"مقبول","راسب")))))</f>
        <v>0</v>
      </c>
      <c r="U41" s="5">
        <f>IF(E41&gt;=90,"امتياز",IF(E41&gt;=80,"جـيد جدا",IF(E41&gt;=70,"جـيد",IF(E41&gt;=60,"متوسط",IF(E41&gt;=50,"مقبول","راسب")))))</f>
        <v>0</v>
      </c>
      <c r="V41" s="5">
        <f>IF(F41&gt;=90,"امتياز",IF(F41&gt;=80,"جـيد جدا",IF(F41&gt;=70,"جـيد",IF(F41&gt;=60,"متوسط",IF(F41&gt;=50,"مقبول","راسب")))))</f>
        <v>0</v>
      </c>
      <c r="W41" s="5">
        <f>IF(G41&gt;=90,"امتياز",IF(G41&gt;=80,"جـيد جدا",IF(G41&gt;=70,"جـيد",IF(G41&gt;=60,"متوسط",IF(G41&gt;=50,"مقبول","راسب")))))</f>
        <v>0</v>
      </c>
      <c r="X41" s="5">
        <f>IF(H41&gt;=90,"امتياز",IF(H41&gt;=80,"جـيد جدا",IF(H41&gt;=70,"جـيد",IF(H41&gt;=60,"متوسط",IF(H41&gt;=50,"مقبول","راسب")))))</f>
        <v>0</v>
      </c>
      <c r="Y41" s="5">
        <f>IF(I41&gt;=90,"امتياز",IF(I41&gt;=80,"جـيد جدا",IF(I41&gt;=70,"جـيد",IF(I41&gt;=60,"متوسط",IF(I41&gt;=50,"مقبول","راسب")))))</f>
        <v>0</v>
      </c>
      <c r="Z41" s="5">
        <f>IF(J41&gt;=90,"امتياز",IF(J41&gt;=80,"جـيد جدا",IF(J41&gt;=70,"جـيد",IF(J41&gt;=60,"متوسط",IF(J41&gt;=50,"مقبول","راسب")))))</f>
        <v>0</v>
      </c>
      <c r="AA41" s="5">
        <f>IF(K41&gt;=90,"امتياز",IF(K41&gt;=80,"جـيد جدا",IF(K41&gt;=70,"جـيد",IF(K41&gt;=60,"متوسط",IF(K41&gt;=50,"مقبول","راسب")))))</f>
        <v>0</v>
      </c>
      <c r="AB41" s="5">
        <f>IF(L41&gt;=90,"امتياز",IF(L41&gt;=80,"جـيد جدا",IF(L41&gt;=70,"جـيد",IF(L41&gt;=60,"متوسط",IF(L41&gt;=50,"مقبول","راسب")))))</f>
        <v>0</v>
      </c>
      <c r="AC41" s="5">
        <f>IF(M41&gt;=90,"امتياز",IF(M41&gt;=80,"جـيد جدا",IF(M41&gt;=70,"جـيد",IF(M41&gt;=60,"متوسط",IF(M41&gt;=50,"مقبول","راسب")))))</f>
        <v>0</v>
      </c>
      <c r="AD41" s="5">
        <f>IF(N41&gt;=90,"امتياز",IF(N41&gt;=80,"جـيد جدا",IF(N41&gt;=70,"جـيد",IF(N41&gt;=60,"متوسط",IF(N41&gt;=50,"مقبول","راسب")))))</f>
        <v>0</v>
      </c>
      <c r="AE41" s="5">
        <f>MasterSheet!AA169</f>
        <v>0</v>
      </c>
      <c r="AF41" s="5">
        <f>MasterSheet!AB169</f>
        <v>0</v>
      </c>
      <c r="AG41" s="5">
        <f>MasterSheet!AC169</f>
        <v>0</v>
      </c>
      <c r="AL41" s="5">
        <f>IF(D41 &gt;=50,"P","F")</f>
        <v>0</v>
      </c>
      <c r="AM41" s="5">
        <f>IF(E41 &gt;=50,"P","F")</f>
        <v>0</v>
      </c>
      <c r="AN41" s="5">
        <f>IF(F41 &gt;=50,"P","F")</f>
        <v>0</v>
      </c>
      <c r="AO41" s="5">
        <f>IF(G41 &gt;=50,"P","F")</f>
        <v>0</v>
      </c>
      <c r="AP41" s="5">
        <f>IF(H41 &gt;=50,"P","F")</f>
        <v>0</v>
      </c>
      <c r="AQ41" s="5">
        <f>IF(I41 &gt;=50,"P","F")</f>
        <v>0</v>
      </c>
      <c r="AR41" s="5">
        <f>IF(J41 &gt;=50,"P","F")</f>
        <v>0</v>
      </c>
      <c r="AS41" s="5">
        <f>IF(K41 &gt;=50,"P","F")</f>
        <v>0</v>
      </c>
      <c r="AT41" s="5">
        <f>IF(L41 &gt;=50,"P","F")</f>
        <v>0</v>
      </c>
      <c r="AU41" s="5">
        <f>IF(M41 &gt;=50,"P","F")</f>
        <v>0</v>
      </c>
      <c r="AV41" s="5">
        <f>IF(N41 &gt;=50,"P","F")</f>
        <v>0</v>
      </c>
      <c r="AW41" s="5">
        <f>IF(AND(N41&gt;=50,N41&gt;=50,F41&gt;=50,G41&gt;=50,H41&gt;=50,I41&gt;=50,J41&gt;=50,K41&gt;=50,L41&gt;=50,M41&gt;=50),"P","F")</f>
        <v>0</v>
      </c>
    </row>
    <row r="42" spans="1:49">
      <c r="A42" s="5">
        <f>MasterSheet!B172</f>
        <v>0</v>
      </c>
      <c r="B42" s="5">
        <f>MasterSheet!C172</f>
        <v>0</v>
      </c>
      <c r="C42" s="5">
        <f>MasterSheet!D172</f>
        <v>0</v>
      </c>
      <c r="D42" s="5">
        <f>MasterSheet!E172</f>
        <v>0</v>
      </c>
      <c r="E42" s="5">
        <f>MasterSheet!G172</f>
        <v>0</v>
      </c>
      <c r="F42" s="5">
        <f>MasterSheet!I172</f>
        <v>0</v>
      </c>
      <c r="G42" s="5">
        <f>MasterSheet!K172</f>
        <v>0</v>
      </c>
      <c r="H42" s="5">
        <f>MasterSheet!M172</f>
        <v>0</v>
      </c>
      <c r="I42" s="5">
        <f>MasterSheet!O172</f>
        <v>0</v>
      </c>
      <c r="J42" s="5">
        <f>MasterSheet!Q172</f>
        <v>0</v>
      </c>
      <c r="K42" s="5">
        <f>MasterSheet!S172</f>
        <v>0</v>
      </c>
      <c r="L42" s="5">
        <f>MasterSheet!U172</f>
        <v>0</v>
      </c>
      <c r="M42" s="5">
        <f>MasterSheet!W172</f>
        <v>0</v>
      </c>
      <c r="N42" s="5">
        <f>MasterSheet!Y172</f>
        <v>0</v>
      </c>
      <c r="O42" s="5">
        <f>MasterSheet!AA172</f>
        <v>0</v>
      </c>
      <c r="P42" s="5">
        <f>MasterSheet!AB172</f>
        <v>0</v>
      </c>
      <c r="Q42" s="5">
        <f>MasterSheet!AC172</f>
        <v>0</v>
      </c>
      <c r="R42" s="5">
        <f>A42</f>
        <v>0</v>
      </c>
      <c r="S42" s="5">
        <f>B42</f>
        <v>0</v>
      </c>
      <c r="T42" s="5">
        <f>IF(D42&gt;=90,"امتياز",IF(D42&gt;=80,"جـيد جدا",IF(D42&gt;=70,"جـيد",IF(D42&gt;=60,"متوسط",IF(D42&gt;=50,"مقبول","راسب")))))</f>
        <v>0</v>
      </c>
      <c r="U42" s="5">
        <f>IF(E42&gt;=90,"امتياز",IF(E42&gt;=80,"جـيد جدا",IF(E42&gt;=70,"جـيد",IF(E42&gt;=60,"متوسط",IF(E42&gt;=50,"مقبول","راسب")))))</f>
        <v>0</v>
      </c>
      <c r="V42" s="5">
        <f>IF(F42&gt;=90,"امتياز",IF(F42&gt;=80,"جـيد جدا",IF(F42&gt;=70,"جـيد",IF(F42&gt;=60,"متوسط",IF(F42&gt;=50,"مقبول","راسب")))))</f>
        <v>0</v>
      </c>
      <c r="W42" s="5">
        <f>IF(G42&gt;=90,"امتياز",IF(G42&gt;=80,"جـيد جدا",IF(G42&gt;=70,"جـيد",IF(G42&gt;=60,"متوسط",IF(G42&gt;=50,"مقبول","راسب")))))</f>
        <v>0</v>
      </c>
      <c r="X42" s="5">
        <f>IF(H42&gt;=90,"امتياز",IF(H42&gt;=80,"جـيد جدا",IF(H42&gt;=70,"جـيد",IF(H42&gt;=60,"متوسط",IF(H42&gt;=50,"مقبول","راسب")))))</f>
        <v>0</v>
      </c>
      <c r="Y42" s="5">
        <f>IF(I42&gt;=90,"امتياز",IF(I42&gt;=80,"جـيد جدا",IF(I42&gt;=70,"جـيد",IF(I42&gt;=60,"متوسط",IF(I42&gt;=50,"مقبول","راسب")))))</f>
        <v>0</v>
      </c>
      <c r="Z42" s="5">
        <f>IF(J42&gt;=90,"امتياز",IF(J42&gt;=80,"جـيد جدا",IF(J42&gt;=70,"جـيد",IF(J42&gt;=60,"متوسط",IF(J42&gt;=50,"مقبول","راسب")))))</f>
        <v>0</v>
      </c>
      <c r="AA42" s="5">
        <f>IF(K42&gt;=90,"امتياز",IF(K42&gt;=80,"جـيد جدا",IF(K42&gt;=70,"جـيد",IF(K42&gt;=60,"متوسط",IF(K42&gt;=50,"مقبول","راسب")))))</f>
        <v>0</v>
      </c>
      <c r="AB42" s="5">
        <f>IF(L42&gt;=90,"امتياز",IF(L42&gt;=80,"جـيد جدا",IF(L42&gt;=70,"جـيد",IF(L42&gt;=60,"متوسط",IF(L42&gt;=50,"مقبول","راسب")))))</f>
        <v>0</v>
      </c>
      <c r="AC42" s="5">
        <f>IF(M42&gt;=90,"امتياز",IF(M42&gt;=80,"جـيد جدا",IF(M42&gt;=70,"جـيد",IF(M42&gt;=60,"متوسط",IF(M42&gt;=50,"مقبول","راسب")))))</f>
        <v>0</v>
      </c>
      <c r="AD42" s="5">
        <f>IF(N42&gt;=90,"امتياز",IF(N42&gt;=80,"جـيد جدا",IF(N42&gt;=70,"جـيد",IF(N42&gt;=60,"متوسط",IF(N42&gt;=50,"مقبول","راسب")))))</f>
        <v>0</v>
      </c>
      <c r="AE42" s="5">
        <f>MasterSheet!AA172</f>
        <v>0</v>
      </c>
      <c r="AF42" s="5">
        <f>MasterSheet!AB172</f>
        <v>0</v>
      </c>
      <c r="AG42" s="5">
        <f>MasterSheet!AC172</f>
        <v>0</v>
      </c>
      <c r="AL42" s="5">
        <f>IF(D42 &gt;=50,"P","F")</f>
        <v>0</v>
      </c>
      <c r="AM42" s="5">
        <f>IF(E42 &gt;=50,"P","F")</f>
        <v>0</v>
      </c>
      <c r="AN42" s="5">
        <f>IF(F42 &gt;=50,"P","F")</f>
        <v>0</v>
      </c>
      <c r="AO42" s="5">
        <f>IF(G42 &gt;=50,"P","F")</f>
        <v>0</v>
      </c>
      <c r="AP42" s="5">
        <f>IF(H42 &gt;=50,"P","F")</f>
        <v>0</v>
      </c>
      <c r="AQ42" s="5">
        <f>IF(I42 &gt;=50,"P","F")</f>
        <v>0</v>
      </c>
      <c r="AR42" s="5">
        <f>IF(J42 &gt;=50,"P","F")</f>
        <v>0</v>
      </c>
      <c r="AS42" s="5">
        <f>IF(K42 &gt;=50,"P","F")</f>
        <v>0</v>
      </c>
      <c r="AT42" s="5">
        <f>IF(L42 &gt;=50,"P","F")</f>
        <v>0</v>
      </c>
      <c r="AU42" s="5">
        <f>IF(M42 &gt;=50,"P","F")</f>
        <v>0</v>
      </c>
      <c r="AV42" s="5">
        <f>IF(N42 &gt;=50,"P","F")</f>
        <v>0</v>
      </c>
      <c r="AW42" s="5">
        <f>IF(AND(N42&gt;=50,N42&gt;=50,F42&gt;=50,G42&gt;=50,H42&gt;=50,I42&gt;=50,J42&gt;=50,K42&gt;=50,L42&gt;=50,M42&gt;=50),"P","F")</f>
        <v>0</v>
      </c>
    </row>
    <row r="43" spans="1:49">
      <c r="A43" s="5">
        <f>MasterSheet!B175</f>
        <v>0</v>
      </c>
      <c r="B43" s="5">
        <f>MasterSheet!C175</f>
        <v>0</v>
      </c>
      <c r="C43" s="5">
        <f>MasterSheet!D175</f>
        <v>0</v>
      </c>
      <c r="D43" s="5">
        <f>MasterSheet!E175</f>
        <v>0</v>
      </c>
      <c r="E43" s="5">
        <f>MasterSheet!G175</f>
        <v>0</v>
      </c>
      <c r="F43" s="5">
        <f>MasterSheet!I175</f>
        <v>0</v>
      </c>
      <c r="G43" s="5">
        <f>MasterSheet!K175</f>
        <v>0</v>
      </c>
      <c r="H43" s="5">
        <f>MasterSheet!M175</f>
        <v>0</v>
      </c>
      <c r="I43" s="5">
        <f>MasterSheet!O175</f>
        <v>0</v>
      </c>
      <c r="J43" s="5">
        <f>MasterSheet!Q175</f>
        <v>0</v>
      </c>
      <c r="K43" s="5">
        <f>MasterSheet!S175</f>
        <v>0</v>
      </c>
      <c r="L43" s="5">
        <f>MasterSheet!U175</f>
        <v>0</v>
      </c>
      <c r="M43" s="5">
        <f>MasterSheet!W175</f>
        <v>0</v>
      </c>
      <c r="N43" s="5">
        <f>MasterSheet!Y175</f>
        <v>0</v>
      </c>
      <c r="O43" s="5">
        <f>MasterSheet!AA175</f>
        <v>0</v>
      </c>
      <c r="P43" s="5">
        <f>MasterSheet!AB175</f>
        <v>0</v>
      </c>
      <c r="Q43" s="5">
        <f>MasterSheet!AC175</f>
        <v>0</v>
      </c>
      <c r="R43" s="5">
        <f>A43</f>
        <v>0</v>
      </c>
      <c r="S43" s="5">
        <f>B43</f>
        <v>0</v>
      </c>
      <c r="T43" s="5">
        <f>IF(D43&gt;=90,"امتياز",IF(D43&gt;=80,"جـيد جدا",IF(D43&gt;=70,"جـيد",IF(D43&gt;=60,"متوسط",IF(D43&gt;=50,"مقبول","راسب")))))</f>
        <v>0</v>
      </c>
      <c r="U43" s="5">
        <f>IF(E43&gt;=90,"امتياز",IF(E43&gt;=80,"جـيد جدا",IF(E43&gt;=70,"جـيد",IF(E43&gt;=60,"متوسط",IF(E43&gt;=50,"مقبول","راسب")))))</f>
        <v>0</v>
      </c>
      <c r="V43" s="5">
        <f>IF(F43&gt;=90,"امتياز",IF(F43&gt;=80,"جـيد جدا",IF(F43&gt;=70,"جـيد",IF(F43&gt;=60,"متوسط",IF(F43&gt;=50,"مقبول","راسب")))))</f>
        <v>0</v>
      </c>
      <c r="W43" s="5">
        <f>IF(G43&gt;=90,"امتياز",IF(G43&gt;=80,"جـيد جدا",IF(G43&gt;=70,"جـيد",IF(G43&gt;=60,"متوسط",IF(G43&gt;=50,"مقبول","راسب")))))</f>
        <v>0</v>
      </c>
      <c r="X43" s="5">
        <f>IF(H43&gt;=90,"امتياز",IF(H43&gt;=80,"جـيد جدا",IF(H43&gt;=70,"جـيد",IF(H43&gt;=60,"متوسط",IF(H43&gt;=50,"مقبول","راسب")))))</f>
        <v>0</v>
      </c>
      <c r="Y43" s="5">
        <f>IF(I43&gt;=90,"امتياز",IF(I43&gt;=80,"جـيد جدا",IF(I43&gt;=70,"جـيد",IF(I43&gt;=60,"متوسط",IF(I43&gt;=50,"مقبول","راسب")))))</f>
        <v>0</v>
      </c>
      <c r="Z43" s="5">
        <f>IF(J43&gt;=90,"امتياز",IF(J43&gt;=80,"جـيد جدا",IF(J43&gt;=70,"جـيد",IF(J43&gt;=60,"متوسط",IF(J43&gt;=50,"مقبول","راسب")))))</f>
        <v>0</v>
      </c>
      <c r="AA43" s="5">
        <f>IF(K43&gt;=90,"امتياز",IF(K43&gt;=80,"جـيد جدا",IF(K43&gt;=70,"جـيد",IF(K43&gt;=60,"متوسط",IF(K43&gt;=50,"مقبول","راسب")))))</f>
        <v>0</v>
      </c>
      <c r="AB43" s="5">
        <f>IF(L43&gt;=90,"امتياز",IF(L43&gt;=80,"جـيد جدا",IF(L43&gt;=70,"جـيد",IF(L43&gt;=60,"متوسط",IF(L43&gt;=50,"مقبول","راسب")))))</f>
        <v>0</v>
      </c>
      <c r="AC43" s="5">
        <f>IF(M43&gt;=90,"امتياز",IF(M43&gt;=80,"جـيد جدا",IF(M43&gt;=70,"جـيد",IF(M43&gt;=60,"متوسط",IF(M43&gt;=50,"مقبول","راسب")))))</f>
        <v>0</v>
      </c>
      <c r="AD43" s="5">
        <f>IF(N43&gt;=90,"امتياز",IF(N43&gt;=80,"جـيد جدا",IF(N43&gt;=70,"جـيد",IF(N43&gt;=60,"متوسط",IF(N43&gt;=50,"مقبول","راسب")))))</f>
        <v>0</v>
      </c>
      <c r="AE43" s="5">
        <f>MasterSheet!AA175</f>
        <v>0</v>
      </c>
      <c r="AF43" s="5">
        <f>MasterSheet!AB175</f>
        <v>0</v>
      </c>
      <c r="AG43" s="5">
        <f>MasterSheet!AC175</f>
        <v>0</v>
      </c>
      <c r="AL43" s="5">
        <f>IF(D43 &gt;=50,"P","F")</f>
        <v>0</v>
      </c>
      <c r="AM43" s="5">
        <f>IF(E43 &gt;=50,"P","F")</f>
        <v>0</v>
      </c>
      <c r="AN43" s="5">
        <f>IF(F43 &gt;=50,"P","F")</f>
        <v>0</v>
      </c>
      <c r="AO43" s="5">
        <f>IF(G43 &gt;=50,"P","F")</f>
        <v>0</v>
      </c>
      <c r="AP43" s="5">
        <f>IF(H43 &gt;=50,"P","F")</f>
        <v>0</v>
      </c>
      <c r="AQ43" s="5">
        <f>IF(I43 &gt;=50,"P","F")</f>
        <v>0</v>
      </c>
      <c r="AR43" s="5">
        <f>IF(J43 &gt;=50,"P","F")</f>
        <v>0</v>
      </c>
      <c r="AS43" s="5">
        <f>IF(K43 &gt;=50,"P","F")</f>
        <v>0</v>
      </c>
      <c r="AT43" s="5">
        <f>IF(L43 &gt;=50,"P","F")</f>
        <v>0</v>
      </c>
      <c r="AU43" s="5">
        <f>IF(M43 &gt;=50,"P","F")</f>
        <v>0</v>
      </c>
      <c r="AV43" s="5">
        <f>IF(N43 &gt;=50,"P","F")</f>
        <v>0</v>
      </c>
      <c r="AW43" s="5">
        <f>IF(AND(N43&gt;=50,N43&gt;=50,F43&gt;=50,G43&gt;=50,H43&gt;=50,I43&gt;=50,J43&gt;=50,K43&gt;=50,L43&gt;=50,M43&gt;=50),"P","F")</f>
        <v>0</v>
      </c>
    </row>
    <row r="44" spans="1:49">
      <c r="A44" s="5">
        <f>MasterSheet!B178</f>
        <v>0</v>
      </c>
      <c r="B44" s="5">
        <f>MasterSheet!C178</f>
        <v>0</v>
      </c>
      <c r="C44" s="5">
        <f>MasterSheet!D178</f>
        <v>0</v>
      </c>
      <c r="D44" s="5">
        <f>MasterSheet!E178</f>
        <v>0</v>
      </c>
      <c r="E44" s="5">
        <f>MasterSheet!G178</f>
        <v>0</v>
      </c>
      <c r="F44" s="5">
        <f>MasterSheet!I178</f>
        <v>0</v>
      </c>
      <c r="G44" s="5">
        <f>MasterSheet!K178</f>
        <v>0</v>
      </c>
      <c r="H44" s="5">
        <f>MasterSheet!M178</f>
        <v>0</v>
      </c>
      <c r="I44" s="5">
        <f>MasterSheet!O178</f>
        <v>0</v>
      </c>
      <c r="J44" s="5">
        <f>MasterSheet!Q178</f>
        <v>0</v>
      </c>
      <c r="K44" s="5">
        <f>MasterSheet!S178</f>
        <v>0</v>
      </c>
      <c r="L44" s="5">
        <f>MasterSheet!U178</f>
        <v>0</v>
      </c>
      <c r="M44" s="5">
        <f>MasterSheet!W178</f>
        <v>0</v>
      </c>
      <c r="N44" s="5">
        <f>MasterSheet!Y178</f>
        <v>0</v>
      </c>
      <c r="O44" s="5">
        <f>MasterSheet!AA178</f>
        <v>0</v>
      </c>
      <c r="P44" s="5">
        <f>MasterSheet!AB178</f>
        <v>0</v>
      </c>
      <c r="Q44" s="5">
        <f>MasterSheet!AC178</f>
        <v>0</v>
      </c>
      <c r="R44" s="5">
        <f>A44</f>
        <v>0</v>
      </c>
      <c r="S44" s="5">
        <f>B44</f>
        <v>0</v>
      </c>
      <c r="T44" s="5">
        <f>IF(D44&gt;=90,"امتياز",IF(D44&gt;=80,"جـيد جدا",IF(D44&gt;=70,"جـيد",IF(D44&gt;=60,"متوسط",IF(D44&gt;=50,"مقبول","راسب")))))</f>
        <v>0</v>
      </c>
      <c r="U44" s="5">
        <f>IF(E44&gt;=90,"امتياز",IF(E44&gt;=80,"جـيد جدا",IF(E44&gt;=70,"جـيد",IF(E44&gt;=60,"متوسط",IF(E44&gt;=50,"مقبول","راسب")))))</f>
        <v>0</v>
      </c>
      <c r="V44" s="5">
        <f>IF(F44&gt;=90,"امتياز",IF(F44&gt;=80,"جـيد جدا",IF(F44&gt;=70,"جـيد",IF(F44&gt;=60,"متوسط",IF(F44&gt;=50,"مقبول","راسب")))))</f>
        <v>0</v>
      </c>
      <c r="W44" s="5">
        <f>IF(G44&gt;=90,"امتياز",IF(G44&gt;=80,"جـيد جدا",IF(G44&gt;=70,"جـيد",IF(G44&gt;=60,"متوسط",IF(G44&gt;=50,"مقبول","راسب")))))</f>
        <v>0</v>
      </c>
      <c r="X44" s="5">
        <f>IF(H44&gt;=90,"امتياز",IF(H44&gt;=80,"جـيد جدا",IF(H44&gt;=70,"جـيد",IF(H44&gt;=60,"متوسط",IF(H44&gt;=50,"مقبول","راسب")))))</f>
        <v>0</v>
      </c>
      <c r="Y44" s="5">
        <f>IF(I44&gt;=90,"امتياز",IF(I44&gt;=80,"جـيد جدا",IF(I44&gt;=70,"جـيد",IF(I44&gt;=60,"متوسط",IF(I44&gt;=50,"مقبول","راسب")))))</f>
        <v>0</v>
      </c>
      <c r="Z44" s="5">
        <f>IF(J44&gt;=90,"امتياز",IF(J44&gt;=80,"جـيد جدا",IF(J44&gt;=70,"جـيد",IF(J44&gt;=60,"متوسط",IF(J44&gt;=50,"مقبول","راسب")))))</f>
        <v>0</v>
      </c>
      <c r="AA44" s="5">
        <f>IF(K44&gt;=90,"امتياز",IF(K44&gt;=80,"جـيد جدا",IF(K44&gt;=70,"جـيد",IF(K44&gt;=60,"متوسط",IF(K44&gt;=50,"مقبول","راسب")))))</f>
        <v>0</v>
      </c>
      <c r="AB44" s="5">
        <f>IF(L44&gt;=90,"امتياز",IF(L44&gt;=80,"جـيد جدا",IF(L44&gt;=70,"جـيد",IF(L44&gt;=60,"متوسط",IF(L44&gt;=50,"مقبول","راسب")))))</f>
        <v>0</v>
      </c>
      <c r="AC44" s="5">
        <f>IF(M44&gt;=90,"امتياز",IF(M44&gt;=80,"جـيد جدا",IF(M44&gt;=70,"جـيد",IF(M44&gt;=60,"متوسط",IF(M44&gt;=50,"مقبول","راسب")))))</f>
        <v>0</v>
      </c>
      <c r="AD44" s="5">
        <f>IF(N44&gt;=90,"امتياز",IF(N44&gt;=80,"جـيد جدا",IF(N44&gt;=70,"جـيد",IF(N44&gt;=60,"متوسط",IF(N44&gt;=50,"مقبول","راسب")))))</f>
        <v>0</v>
      </c>
      <c r="AE44" s="5">
        <f>MasterSheet!AA178</f>
        <v>0</v>
      </c>
      <c r="AF44" s="5">
        <f>MasterSheet!AB178</f>
        <v>0</v>
      </c>
      <c r="AG44" s="5">
        <f>MasterSheet!AC178</f>
        <v>0</v>
      </c>
      <c r="AL44" s="5">
        <f>IF(D44 &gt;=50,"P","F")</f>
        <v>0</v>
      </c>
      <c r="AM44" s="5">
        <f>IF(E44 &gt;=50,"P","F")</f>
        <v>0</v>
      </c>
      <c r="AN44" s="5">
        <f>IF(F44 &gt;=50,"P","F")</f>
        <v>0</v>
      </c>
      <c r="AO44" s="5">
        <f>IF(G44 &gt;=50,"P","F")</f>
        <v>0</v>
      </c>
      <c r="AP44" s="5">
        <f>IF(H44 &gt;=50,"P","F")</f>
        <v>0</v>
      </c>
      <c r="AQ44" s="5">
        <f>IF(I44 &gt;=50,"P","F")</f>
        <v>0</v>
      </c>
      <c r="AR44" s="5">
        <f>IF(J44 &gt;=50,"P","F")</f>
        <v>0</v>
      </c>
      <c r="AS44" s="5">
        <f>IF(K44 &gt;=50,"P","F")</f>
        <v>0</v>
      </c>
      <c r="AT44" s="5">
        <f>IF(L44 &gt;=50,"P","F")</f>
        <v>0</v>
      </c>
      <c r="AU44" s="5">
        <f>IF(M44 &gt;=50,"P","F")</f>
        <v>0</v>
      </c>
      <c r="AV44" s="5">
        <f>IF(N44 &gt;=50,"P","F")</f>
        <v>0</v>
      </c>
      <c r="AW44" s="5">
        <f>IF(AND(N44&gt;=50,N44&gt;=50,F44&gt;=50,G44&gt;=50,H44&gt;=50,I44&gt;=50,J44&gt;=50,K44&gt;=50,L44&gt;=50,M44&gt;=50),"P","F")</f>
        <v>0</v>
      </c>
    </row>
    <row r="45" spans="1:49">
      <c r="A45" s="5">
        <f>MasterSheet!B181</f>
        <v>0</v>
      </c>
      <c r="B45" s="5">
        <f>MasterSheet!C181</f>
        <v>0</v>
      </c>
      <c r="C45" s="5">
        <f>MasterSheet!D181</f>
        <v>0</v>
      </c>
      <c r="D45" s="5">
        <f>MasterSheet!E181</f>
        <v>0</v>
      </c>
      <c r="E45" s="5">
        <f>MasterSheet!G181</f>
        <v>0</v>
      </c>
      <c r="F45" s="5">
        <f>MasterSheet!I181</f>
        <v>0</v>
      </c>
      <c r="G45" s="5">
        <f>MasterSheet!K181</f>
        <v>0</v>
      </c>
      <c r="H45" s="5">
        <f>MasterSheet!M181</f>
        <v>0</v>
      </c>
      <c r="I45" s="5">
        <f>MasterSheet!O181</f>
        <v>0</v>
      </c>
      <c r="J45" s="5">
        <f>MasterSheet!Q181</f>
        <v>0</v>
      </c>
      <c r="K45" s="5">
        <f>MasterSheet!S181</f>
        <v>0</v>
      </c>
      <c r="L45" s="5">
        <f>MasterSheet!U181</f>
        <v>0</v>
      </c>
      <c r="M45" s="5">
        <f>MasterSheet!W181</f>
        <v>0</v>
      </c>
      <c r="N45" s="5">
        <f>MasterSheet!Y181</f>
        <v>0</v>
      </c>
      <c r="O45" s="5">
        <f>MasterSheet!AA181</f>
        <v>0</v>
      </c>
      <c r="P45" s="5">
        <f>MasterSheet!AB181</f>
        <v>0</v>
      </c>
      <c r="Q45" s="5">
        <f>MasterSheet!AC181</f>
        <v>0</v>
      </c>
      <c r="R45" s="5">
        <f>A45</f>
        <v>0</v>
      </c>
      <c r="S45" s="5">
        <f>B45</f>
        <v>0</v>
      </c>
      <c r="T45" s="5">
        <f>IF(D45&gt;=90,"امتياز",IF(D45&gt;=80,"جـيد جدا",IF(D45&gt;=70,"جـيد",IF(D45&gt;=60,"متوسط",IF(D45&gt;=50,"مقبول","راسب")))))</f>
        <v>0</v>
      </c>
      <c r="U45" s="5">
        <f>IF(E45&gt;=90,"امتياز",IF(E45&gt;=80,"جـيد جدا",IF(E45&gt;=70,"جـيد",IF(E45&gt;=60,"متوسط",IF(E45&gt;=50,"مقبول","راسب")))))</f>
        <v>0</v>
      </c>
      <c r="V45" s="5">
        <f>IF(F45&gt;=90,"امتياز",IF(F45&gt;=80,"جـيد جدا",IF(F45&gt;=70,"جـيد",IF(F45&gt;=60,"متوسط",IF(F45&gt;=50,"مقبول","راسب")))))</f>
        <v>0</v>
      </c>
      <c r="W45" s="5">
        <f>IF(G45&gt;=90,"امتياز",IF(G45&gt;=80,"جـيد جدا",IF(G45&gt;=70,"جـيد",IF(G45&gt;=60,"متوسط",IF(G45&gt;=50,"مقبول","راسب")))))</f>
        <v>0</v>
      </c>
      <c r="X45" s="5">
        <f>IF(H45&gt;=90,"امتياز",IF(H45&gt;=80,"جـيد جدا",IF(H45&gt;=70,"جـيد",IF(H45&gt;=60,"متوسط",IF(H45&gt;=50,"مقبول","راسب")))))</f>
        <v>0</v>
      </c>
      <c r="Y45" s="5">
        <f>IF(I45&gt;=90,"امتياز",IF(I45&gt;=80,"جـيد جدا",IF(I45&gt;=70,"جـيد",IF(I45&gt;=60,"متوسط",IF(I45&gt;=50,"مقبول","راسب")))))</f>
        <v>0</v>
      </c>
      <c r="Z45" s="5">
        <f>IF(J45&gt;=90,"امتياز",IF(J45&gt;=80,"جـيد جدا",IF(J45&gt;=70,"جـيد",IF(J45&gt;=60,"متوسط",IF(J45&gt;=50,"مقبول","راسب")))))</f>
        <v>0</v>
      </c>
      <c r="AA45" s="5">
        <f>IF(K45&gt;=90,"امتياز",IF(K45&gt;=80,"جـيد جدا",IF(K45&gt;=70,"جـيد",IF(K45&gt;=60,"متوسط",IF(K45&gt;=50,"مقبول","راسب")))))</f>
        <v>0</v>
      </c>
      <c r="AB45" s="5">
        <f>IF(L45&gt;=90,"امتياز",IF(L45&gt;=80,"جـيد جدا",IF(L45&gt;=70,"جـيد",IF(L45&gt;=60,"متوسط",IF(L45&gt;=50,"مقبول","راسب")))))</f>
        <v>0</v>
      </c>
      <c r="AC45" s="5">
        <f>IF(M45&gt;=90,"امتياز",IF(M45&gt;=80,"جـيد جدا",IF(M45&gt;=70,"جـيد",IF(M45&gt;=60,"متوسط",IF(M45&gt;=50,"مقبول","راسب")))))</f>
        <v>0</v>
      </c>
      <c r="AD45" s="5">
        <f>IF(N45&gt;=90,"امتياز",IF(N45&gt;=80,"جـيد جدا",IF(N45&gt;=70,"جـيد",IF(N45&gt;=60,"متوسط",IF(N45&gt;=50,"مقبول","راسب")))))</f>
        <v>0</v>
      </c>
      <c r="AE45" s="5">
        <f>MasterSheet!AA181</f>
        <v>0</v>
      </c>
      <c r="AF45" s="5">
        <f>MasterSheet!AB181</f>
        <v>0</v>
      </c>
      <c r="AG45" s="5">
        <f>MasterSheet!AC181</f>
        <v>0</v>
      </c>
      <c r="AL45" s="5">
        <f>IF(D45 &gt;=50,"P","F")</f>
        <v>0</v>
      </c>
      <c r="AM45" s="5">
        <f>IF(E45 &gt;=50,"P","F")</f>
        <v>0</v>
      </c>
      <c r="AN45" s="5">
        <f>IF(F45 &gt;=50,"P","F")</f>
        <v>0</v>
      </c>
      <c r="AO45" s="5">
        <f>IF(G45 &gt;=50,"P","F")</f>
        <v>0</v>
      </c>
      <c r="AP45" s="5">
        <f>IF(H45 &gt;=50,"P","F")</f>
        <v>0</v>
      </c>
      <c r="AQ45" s="5">
        <f>IF(I45 &gt;=50,"P","F")</f>
        <v>0</v>
      </c>
      <c r="AR45" s="5">
        <f>IF(J45 &gt;=50,"P","F")</f>
        <v>0</v>
      </c>
      <c r="AS45" s="5">
        <f>IF(K45 &gt;=50,"P","F")</f>
        <v>0</v>
      </c>
      <c r="AT45" s="5">
        <f>IF(L45 &gt;=50,"P","F")</f>
        <v>0</v>
      </c>
      <c r="AU45" s="5">
        <f>IF(M45 &gt;=50,"P","F")</f>
        <v>0</v>
      </c>
      <c r="AV45" s="5">
        <f>IF(N45 &gt;=50,"P","F")</f>
        <v>0</v>
      </c>
      <c r="AW45" s="5">
        <f>IF(AND(N45&gt;=50,N45&gt;=50,F45&gt;=50,G45&gt;=50,H45&gt;=50,I45&gt;=50,J45&gt;=50,K45&gt;=50,L45&gt;=50,M45&gt;=50),"P","F")</f>
        <v>0</v>
      </c>
    </row>
    <row r="46" spans="1:49">
      <c r="A46" s="5">
        <f>MasterSheet!B184</f>
        <v>0</v>
      </c>
      <c r="B46" s="5">
        <f>MasterSheet!C184</f>
        <v>0</v>
      </c>
      <c r="C46" s="5">
        <f>MasterSheet!D184</f>
        <v>0</v>
      </c>
      <c r="D46" s="5">
        <f>MasterSheet!E184</f>
        <v>0</v>
      </c>
      <c r="E46" s="5">
        <f>MasterSheet!G184</f>
        <v>0</v>
      </c>
      <c r="F46" s="5">
        <f>MasterSheet!I184</f>
        <v>0</v>
      </c>
      <c r="G46" s="5">
        <f>MasterSheet!K184</f>
        <v>0</v>
      </c>
      <c r="H46" s="5">
        <f>MasterSheet!M184</f>
        <v>0</v>
      </c>
      <c r="I46" s="5">
        <f>MasterSheet!O184</f>
        <v>0</v>
      </c>
      <c r="J46" s="5">
        <f>MasterSheet!Q184</f>
        <v>0</v>
      </c>
      <c r="K46" s="5">
        <f>MasterSheet!S184</f>
        <v>0</v>
      </c>
      <c r="L46" s="5">
        <f>MasterSheet!U184</f>
        <v>0</v>
      </c>
      <c r="M46" s="5">
        <f>MasterSheet!W184</f>
        <v>0</v>
      </c>
      <c r="N46" s="5">
        <f>MasterSheet!Y184</f>
        <v>0</v>
      </c>
      <c r="O46" s="5">
        <f>MasterSheet!AA184</f>
        <v>0</v>
      </c>
      <c r="P46" s="5">
        <f>MasterSheet!AB184</f>
        <v>0</v>
      </c>
      <c r="Q46" s="5">
        <f>MasterSheet!AC184</f>
        <v>0</v>
      </c>
      <c r="R46" s="5">
        <f>A46</f>
        <v>0</v>
      </c>
      <c r="S46" s="5">
        <f>B46</f>
        <v>0</v>
      </c>
      <c r="T46" s="5">
        <f>IF(D46&gt;=90,"امتياز",IF(D46&gt;=80,"جـيد جدا",IF(D46&gt;=70,"جـيد",IF(D46&gt;=60,"متوسط",IF(D46&gt;=50,"مقبول","راسب")))))</f>
        <v>0</v>
      </c>
      <c r="U46" s="5">
        <f>IF(E46&gt;=90,"امتياز",IF(E46&gt;=80,"جـيد جدا",IF(E46&gt;=70,"جـيد",IF(E46&gt;=60,"متوسط",IF(E46&gt;=50,"مقبول","راسب")))))</f>
        <v>0</v>
      </c>
      <c r="V46" s="5">
        <f>IF(F46&gt;=90,"امتياز",IF(F46&gt;=80,"جـيد جدا",IF(F46&gt;=70,"جـيد",IF(F46&gt;=60,"متوسط",IF(F46&gt;=50,"مقبول","راسب")))))</f>
        <v>0</v>
      </c>
      <c r="W46" s="5">
        <f>IF(G46&gt;=90,"امتياز",IF(G46&gt;=80,"جـيد جدا",IF(G46&gt;=70,"جـيد",IF(G46&gt;=60,"متوسط",IF(G46&gt;=50,"مقبول","راسب")))))</f>
        <v>0</v>
      </c>
      <c r="X46" s="5">
        <f>IF(H46&gt;=90,"امتياز",IF(H46&gt;=80,"جـيد جدا",IF(H46&gt;=70,"جـيد",IF(H46&gt;=60,"متوسط",IF(H46&gt;=50,"مقبول","راسب")))))</f>
        <v>0</v>
      </c>
      <c r="Y46" s="5">
        <f>IF(I46&gt;=90,"امتياز",IF(I46&gt;=80,"جـيد جدا",IF(I46&gt;=70,"جـيد",IF(I46&gt;=60,"متوسط",IF(I46&gt;=50,"مقبول","راسب")))))</f>
        <v>0</v>
      </c>
      <c r="Z46" s="5">
        <f>IF(J46&gt;=90,"امتياز",IF(J46&gt;=80,"جـيد جدا",IF(J46&gt;=70,"جـيد",IF(J46&gt;=60,"متوسط",IF(J46&gt;=50,"مقبول","راسب")))))</f>
        <v>0</v>
      </c>
      <c r="AA46" s="5">
        <f>IF(K46&gt;=90,"امتياز",IF(K46&gt;=80,"جـيد جدا",IF(K46&gt;=70,"جـيد",IF(K46&gt;=60,"متوسط",IF(K46&gt;=50,"مقبول","راسب")))))</f>
        <v>0</v>
      </c>
      <c r="AB46" s="5">
        <f>IF(L46&gt;=90,"امتياز",IF(L46&gt;=80,"جـيد جدا",IF(L46&gt;=70,"جـيد",IF(L46&gt;=60,"متوسط",IF(L46&gt;=50,"مقبول","راسب")))))</f>
        <v>0</v>
      </c>
      <c r="AC46" s="5">
        <f>IF(M46&gt;=90,"امتياز",IF(M46&gt;=80,"جـيد جدا",IF(M46&gt;=70,"جـيد",IF(M46&gt;=60,"متوسط",IF(M46&gt;=50,"مقبول","راسب")))))</f>
        <v>0</v>
      </c>
      <c r="AD46" s="5">
        <f>IF(N46&gt;=90,"امتياز",IF(N46&gt;=80,"جـيد جدا",IF(N46&gt;=70,"جـيد",IF(N46&gt;=60,"متوسط",IF(N46&gt;=50,"مقبول","راسب")))))</f>
        <v>0</v>
      </c>
      <c r="AE46" s="5">
        <f>MasterSheet!AA184</f>
        <v>0</v>
      </c>
      <c r="AF46" s="5">
        <f>MasterSheet!AB184</f>
        <v>0</v>
      </c>
      <c r="AG46" s="5">
        <f>MasterSheet!AC184</f>
        <v>0</v>
      </c>
      <c r="AL46" s="5">
        <f>IF(D46 &gt;=50,"P","F")</f>
        <v>0</v>
      </c>
      <c r="AM46" s="5">
        <f>IF(E46 &gt;=50,"P","F")</f>
        <v>0</v>
      </c>
      <c r="AN46" s="5">
        <f>IF(F46 &gt;=50,"P","F")</f>
        <v>0</v>
      </c>
      <c r="AO46" s="5">
        <f>IF(G46 &gt;=50,"P","F")</f>
        <v>0</v>
      </c>
      <c r="AP46" s="5">
        <f>IF(H46 &gt;=50,"P","F")</f>
        <v>0</v>
      </c>
      <c r="AQ46" s="5">
        <f>IF(I46 &gt;=50,"P","F")</f>
        <v>0</v>
      </c>
      <c r="AR46" s="5">
        <f>IF(J46 &gt;=50,"P","F")</f>
        <v>0</v>
      </c>
      <c r="AS46" s="5">
        <f>IF(K46 &gt;=50,"P","F")</f>
        <v>0</v>
      </c>
      <c r="AT46" s="5">
        <f>IF(L46 &gt;=50,"P","F")</f>
        <v>0</v>
      </c>
      <c r="AU46" s="5">
        <f>IF(M46 &gt;=50,"P","F")</f>
        <v>0</v>
      </c>
      <c r="AV46" s="5">
        <f>IF(N46 &gt;=50,"P","F")</f>
        <v>0</v>
      </c>
      <c r="AW46" s="5">
        <f>IF(AND(N46&gt;=50,N46&gt;=50,F46&gt;=50,G46&gt;=50,H46&gt;=50,I46&gt;=50,J46&gt;=50,K46&gt;=50,L46&gt;=50,M46&gt;=50),"P","F")</f>
        <v>0</v>
      </c>
    </row>
    <row r="47" spans="1:49">
      <c r="A47" s="5">
        <f>MasterSheet!B207</f>
        <v>0</v>
      </c>
      <c r="B47" s="5">
        <f>MasterSheet!C207</f>
        <v>0</v>
      </c>
      <c r="C47" s="5">
        <f>MasterSheet!D207</f>
        <v>0</v>
      </c>
      <c r="D47" s="5">
        <f>MasterSheet!E207</f>
        <v>0</v>
      </c>
      <c r="E47" s="5">
        <f>MasterSheet!G207</f>
        <v>0</v>
      </c>
      <c r="F47" s="5">
        <f>MasterSheet!I207</f>
        <v>0</v>
      </c>
      <c r="G47" s="5">
        <f>MasterSheet!K207</f>
        <v>0</v>
      </c>
      <c r="H47" s="5">
        <f>MasterSheet!M207</f>
        <v>0</v>
      </c>
      <c r="I47" s="5">
        <f>MasterSheet!O207</f>
        <v>0</v>
      </c>
      <c r="J47" s="5">
        <f>MasterSheet!Q207</f>
        <v>0</v>
      </c>
      <c r="K47" s="5">
        <f>MasterSheet!S207</f>
        <v>0</v>
      </c>
      <c r="L47" s="5">
        <f>MasterSheet!U207</f>
        <v>0</v>
      </c>
      <c r="M47" s="5">
        <f>MasterSheet!W207</f>
        <v>0</v>
      </c>
      <c r="N47" s="5">
        <f>MasterSheet!Y207</f>
        <v>0</v>
      </c>
      <c r="O47" s="5">
        <f>MasterSheet!AA207</f>
        <v>0</v>
      </c>
      <c r="P47" s="5">
        <f>MasterSheet!AB207</f>
        <v>0</v>
      </c>
      <c r="Q47" s="5">
        <f>MasterSheet!AC207</f>
        <v>0</v>
      </c>
      <c r="R47" s="5">
        <f>A47</f>
        <v>0</v>
      </c>
      <c r="S47" s="5">
        <f>B47</f>
        <v>0</v>
      </c>
      <c r="T47" s="5">
        <f>IF(D47&gt;=90,"امتياز",IF(D47&gt;=80,"جـيد جدا",IF(D47&gt;=70,"جـيد",IF(D47&gt;=60,"متوسط",IF(D47&gt;=50,"مقبول","راسب")))))</f>
        <v>0</v>
      </c>
      <c r="U47" s="5">
        <f>IF(E47&gt;=90,"امتياز",IF(E47&gt;=80,"جـيد جدا",IF(E47&gt;=70,"جـيد",IF(E47&gt;=60,"متوسط",IF(E47&gt;=50,"مقبول","راسب")))))</f>
        <v>0</v>
      </c>
      <c r="V47" s="5">
        <f>IF(F47&gt;=90,"امتياز",IF(F47&gt;=80,"جـيد جدا",IF(F47&gt;=70,"جـيد",IF(F47&gt;=60,"متوسط",IF(F47&gt;=50,"مقبول","راسب")))))</f>
        <v>0</v>
      </c>
      <c r="W47" s="5">
        <f>IF(G47&gt;=90,"امتياز",IF(G47&gt;=80,"جـيد جدا",IF(G47&gt;=70,"جـيد",IF(G47&gt;=60,"متوسط",IF(G47&gt;=50,"مقبول","راسب")))))</f>
        <v>0</v>
      </c>
      <c r="X47" s="5">
        <f>IF(H47&gt;=90,"امتياز",IF(H47&gt;=80,"جـيد جدا",IF(H47&gt;=70,"جـيد",IF(H47&gt;=60,"متوسط",IF(H47&gt;=50,"مقبول","راسب")))))</f>
        <v>0</v>
      </c>
      <c r="Y47" s="5">
        <f>IF(I47&gt;=90,"امتياز",IF(I47&gt;=80,"جـيد جدا",IF(I47&gt;=70,"جـيد",IF(I47&gt;=60,"متوسط",IF(I47&gt;=50,"مقبول","راسب")))))</f>
        <v>0</v>
      </c>
      <c r="Z47" s="5">
        <f>IF(J47&gt;=90,"امتياز",IF(J47&gt;=80,"جـيد جدا",IF(J47&gt;=70,"جـيد",IF(J47&gt;=60,"متوسط",IF(J47&gt;=50,"مقبول","راسب")))))</f>
        <v>0</v>
      </c>
      <c r="AA47" s="5">
        <f>IF(K47&gt;=90,"امتياز",IF(K47&gt;=80,"جـيد جدا",IF(K47&gt;=70,"جـيد",IF(K47&gt;=60,"متوسط",IF(K47&gt;=50,"مقبول","راسب")))))</f>
        <v>0</v>
      </c>
      <c r="AB47" s="5">
        <f>IF(L47&gt;=90,"امتياز",IF(L47&gt;=80,"جـيد جدا",IF(L47&gt;=70,"جـيد",IF(L47&gt;=60,"متوسط",IF(L47&gt;=50,"مقبول","راسب")))))</f>
        <v>0</v>
      </c>
      <c r="AC47" s="5">
        <f>IF(M47&gt;=90,"امتياز",IF(M47&gt;=80,"جـيد جدا",IF(M47&gt;=70,"جـيد",IF(M47&gt;=60,"متوسط",IF(M47&gt;=50,"مقبول","راسب")))))</f>
        <v>0</v>
      </c>
      <c r="AD47" s="5">
        <f>IF(N47&gt;=90,"امتياز",IF(N47&gt;=80,"جـيد جدا",IF(N47&gt;=70,"جـيد",IF(N47&gt;=60,"متوسط",IF(N47&gt;=50,"مقبول","راسب")))))</f>
        <v>0</v>
      </c>
      <c r="AE47" s="5">
        <f>MasterSheet!AA207</f>
        <v>0</v>
      </c>
      <c r="AF47" s="5">
        <f>MasterSheet!AB207</f>
        <v>0</v>
      </c>
      <c r="AG47" s="5">
        <f>MasterSheet!AC207</f>
        <v>0</v>
      </c>
      <c r="AL47" s="5">
        <f>IF(D47 &gt;=50,"P","F")</f>
        <v>0</v>
      </c>
      <c r="AM47" s="5">
        <f>IF(E47 &gt;=50,"P","F")</f>
        <v>0</v>
      </c>
      <c r="AN47" s="5">
        <f>IF(F47 &gt;=50,"P","F")</f>
        <v>0</v>
      </c>
      <c r="AO47" s="5">
        <f>IF(G47 &gt;=50,"P","F")</f>
        <v>0</v>
      </c>
      <c r="AP47" s="5">
        <f>IF(H47 &gt;=50,"P","F")</f>
        <v>0</v>
      </c>
      <c r="AQ47" s="5">
        <f>IF(I47 &gt;=50,"P","F")</f>
        <v>0</v>
      </c>
      <c r="AR47" s="5">
        <f>IF(J47 &gt;=50,"P","F")</f>
        <v>0</v>
      </c>
      <c r="AS47" s="5">
        <f>IF(K47 &gt;=50,"P","F")</f>
        <v>0</v>
      </c>
      <c r="AT47" s="5">
        <f>IF(L47 &gt;=50,"P","F")</f>
        <v>0</v>
      </c>
      <c r="AU47" s="5">
        <f>IF(M47 &gt;=50,"P","F")</f>
        <v>0</v>
      </c>
      <c r="AV47" s="5">
        <f>IF(N47 &gt;=50,"P","F")</f>
        <v>0</v>
      </c>
      <c r="AW47" s="5">
        <f>IF(AND(N47&gt;=50,N47&gt;=50,F47&gt;=50,G47&gt;=50,H47&gt;=50,I47&gt;=50,J47&gt;=50,K47&gt;=50,L47&gt;=50,M47&gt;=50),"P","F")</f>
        <v>0</v>
      </c>
    </row>
    <row r="48" spans="1:49">
      <c r="A48" s="5">
        <f>MasterSheet!B210</f>
        <v>0</v>
      </c>
      <c r="B48" s="5">
        <f>MasterSheet!C210</f>
        <v>0</v>
      </c>
      <c r="C48" s="5">
        <f>MasterSheet!D210</f>
        <v>0</v>
      </c>
      <c r="D48" s="5">
        <f>MasterSheet!E210</f>
        <v>0</v>
      </c>
      <c r="E48" s="5">
        <f>MasterSheet!G210</f>
        <v>0</v>
      </c>
      <c r="F48" s="5">
        <f>MasterSheet!I210</f>
        <v>0</v>
      </c>
      <c r="G48" s="5">
        <f>MasterSheet!K210</f>
        <v>0</v>
      </c>
      <c r="H48" s="5">
        <f>MasterSheet!M210</f>
        <v>0</v>
      </c>
      <c r="I48" s="5">
        <f>MasterSheet!O210</f>
        <v>0</v>
      </c>
      <c r="J48" s="5">
        <f>MasterSheet!Q210</f>
        <v>0</v>
      </c>
      <c r="K48" s="5">
        <f>MasterSheet!S210</f>
        <v>0</v>
      </c>
      <c r="L48" s="5">
        <f>MasterSheet!U210</f>
        <v>0</v>
      </c>
      <c r="M48" s="5">
        <f>MasterSheet!W210</f>
        <v>0</v>
      </c>
      <c r="N48" s="5">
        <f>MasterSheet!Y210</f>
        <v>0</v>
      </c>
      <c r="O48" s="5">
        <f>MasterSheet!AA210</f>
        <v>0</v>
      </c>
      <c r="P48" s="5">
        <f>MasterSheet!AB210</f>
        <v>0</v>
      </c>
      <c r="Q48" s="5">
        <f>MasterSheet!AC210</f>
        <v>0</v>
      </c>
      <c r="R48" s="5">
        <f>A48</f>
        <v>0</v>
      </c>
      <c r="S48" s="5">
        <f>B48</f>
        <v>0</v>
      </c>
      <c r="T48" s="5">
        <f>IF(D48&gt;=90,"امتياز",IF(D48&gt;=80,"جـيد جدا",IF(D48&gt;=70,"جـيد",IF(D48&gt;=60,"متوسط",IF(D48&gt;=50,"مقبول","راسب")))))</f>
        <v>0</v>
      </c>
      <c r="U48" s="5">
        <f>IF(E48&gt;=90,"امتياز",IF(E48&gt;=80,"جـيد جدا",IF(E48&gt;=70,"جـيد",IF(E48&gt;=60,"متوسط",IF(E48&gt;=50,"مقبول","راسب")))))</f>
        <v>0</v>
      </c>
      <c r="V48" s="5">
        <f>IF(F48&gt;=90,"امتياز",IF(F48&gt;=80,"جـيد جدا",IF(F48&gt;=70,"جـيد",IF(F48&gt;=60,"متوسط",IF(F48&gt;=50,"مقبول","راسب")))))</f>
        <v>0</v>
      </c>
      <c r="W48" s="5">
        <f>IF(G48&gt;=90,"امتياز",IF(G48&gt;=80,"جـيد جدا",IF(G48&gt;=70,"جـيد",IF(G48&gt;=60,"متوسط",IF(G48&gt;=50,"مقبول","راسب")))))</f>
        <v>0</v>
      </c>
      <c r="X48" s="5">
        <f>IF(H48&gt;=90,"امتياز",IF(H48&gt;=80,"جـيد جدا",IF(H48&gt;=70,"جـيد",IF(H48&gt;=60,"متوسط",IF(H48&gt;=50,"مقبول","راسب")))))</f>
        <v>0</v>
      </c>
      <c r="Y48" s="5">
        <f>IF(I48&gt;=90,"امتياز",IF(I48&gt;=80,"جـيد جدا",IF(I48&gt;=70,"جـيد",IF(I48&gt;=60,"متوسط",IF(I48&gt;=50,"مقبول","راسب")))))</f>
        <v>0</v>
      </c>
      <c r="Z48" s="5">
        <f>IF(J48&gt;=90,"امتياز",IF(J48&gt;=80,"جـيد جدا",IF(J48&gt;=70,"جـيد",IF(J48&gt;=60,"متوسط",IF(J48&gt;=50,"مقبول","راسب")))))</f>
        <v>0</v>
      </c>
      <c r="AA48" s="5">
        <f>IF(K48&gt;=90,"امتياز",IF(K48&gt;=80,"جـيد جدا",IF(K48&gt;=70,"جـيد",IF(K48&gt;=60,"متوسط",IF(K48&gt;=50,"مقبول","راسب")))))</f>
        <v>0</v>
      </c>
      <c r="AB48" s="5">
        <f>IF(L48&gt;=90,"امتياز",IF(L48&gt;=80,"جـيد جدا",IF(L48&gt;=70,"جـيد",IF(L48&gt;=60,"متوسط",IF(L48&gt;=50,"مقبول","راسب")))))</f>
        <v>0</v>
      </c>
      <c r="AC48" s="5">
        <f>IF(M48&gt;=90,"امتياز",IF(M48&gt;=80,"جـيد جدا",IF(M48&gt;=70,"جـيد",IF(M48&gt;=60,"متوسط",IF(M48&gt;=50,"مقبول","راسب")))))</f>
        <v>0</v>
      </c>
      <c r="AD48" s="5">
        <f>IF(N48&gt;=90,"امتياز",IF(N48&gt;=80,"جـيد جدا",IF(N48&gt;=70,"جـيد",IF(N48&gt;=60,"متوسط",IF(N48&gt;=50,"مقبول","راسب")))))</f>
        <v>0</v>
      </c>
      <c r="AE48" s="5">
        <f>MasterSheet!AA210</f>
        <v>0</v>
      </c>
      <c r="AF48" s="5">
        <f>MasterSheet!AB210</f>
        <v>0</v>
      </c>
      <c r="AG48" s="5">
        <f>MasterSheet!AC210</f>
        <v>0</v>
      </c>
      <c r="AL48" s="5">
        <f>IF(D48 &gt;=50,"P","F")</f>
        <v>0</v>
      </c>
      <c r="AM48" s="5">
        <f>IF(E48 &gt;=50,"P","F")</f>
        <v>0</v>
      </c>
      <c r="AN48" s="5">
        <f>IF(F48 &gt;=50,"P","F")</f>
        <v>0</v>
      </c>
      <c r="AO48" s="5">
        <f>IF(G48 &gt;=50,"P","F")</f>
        <v>0</v>
      </c>
      <c r="AP48" s="5">
        <f>IF(H48 &gt;=50,"P","F")</f>
        <v>0</v>
      </c>
      <c r="AQ48" s="5">
        <f>IF(I48 &gt;=50,"P","F")</f>
        <v>0</v>
      </c>
      <c r="AR48" s="5">
        <f>IF(J48 &gt;=50,"P","F")</f>
        <v>0</v>
      </c>
      <c r="AS48" s="5">
        <f>IF(K48 &gt;=50,"P","F")</f>
        <v>0</v>
      </c>
      <c r="AT48" s="5">
        <f>IF(L48 &gt;=50,"P","F")</f>
        <v>0</v>
      </c>
      <c r="AU48" s="5">
        <f>IF(M48 &gt;=50,"P","F")</f>
        <v>0</v>
      </c>
      <c r="AV48" s="5">
        <f>IF(N48 &gt;=50,"P","F")</f>
        <v>0</v>
      </c>
      <c r="AW48" s="5">
        <f>IF(AND(N48&gt;=50,N48&gt;=50,F48&gt;=50,G48&gt;=50,H48&gt;=50,I48&gt;=50,J48&gt;=50,K48&gt;=50,L48&gt;=50,M48&gt;=50),"P","F")</f>
        <v>0</v>
      </c>
    </row>
    <row r="49" spans="1:49">
      <c r="A49" s="5">
        <f>MasterSheet!B213</f>
        <v>0</v>
      </c>
      <c r="B49" s="5">
        <f>MasterSheet!C213</f>
        <v>0</v>
      </c>
      <c r="C49" s="5">
        <f>MasterSheet!D213</f>
        <v>0</v>
      </c>
      <c r="D49" s="5">
        <f>MasterSheet!E213</f>
        <v>0</v>
      </c>
      <c r="E49" s="5">
        <f>MasterSheet!G213</f>
        <v>0</v>
      </c>
      <c r="F49" s="5">
        <f>MasterSheet!I213</f>
        <v>0</v>
      </c>
      <c r="G49" s="5">
        <f>MasterSheet!K213</f>
        <v>0</v>
      </c>
      <c r="H49" s="5">
        <f>MasterSheet!M213</f>
        <v>0</v>
      </c>
      <c r="I49" s="5">
        <f>MasterSheet!O213</f>
        <v>0</v>
      </c>
      <c r="J49" s="5">
        <f>MasterSheet!Q213</f>
        <v>0</v>
      </c>
      <c r="K49" s="5">
        <f>MasterSheet!S213</f>
        <v>0</v>
      </c>
      <c r="L49" s="5">
        <f>MasterSheet!U213</f>
        <v>0</v>
      </c>
      <c r="M49" s="5">
        <f>MasterSheet!W213</f>
        <v>0</v>
      </c>
      <c r="N49" s="5">
        <f>MasterSheet!Y213</f>
        <v>0</v>
      </c>
      <c r="O49" s="5">
        <f>MasterSheet!AA213</f>
        <v>0</v>
      </c>
      <c r="P49" s="5">
        <f>MasterSheet!AB213</f>
        <v>0</v>
      </c>
      <c r="Q49" s="5">
        <f>MasterSheet!AC213</f>
        <v>0</v>
      </c>
      <c r="R49" s="5">
        <f>A49</f>
        <v>0</v>
      </c>
      <c r="S49" s="5">
        <f>B49</f>
        <v>0</v>
      </c>
      <c r="T49" s="5">
        <f>IF(D49&gt;=90,"امتياز",IF(D49&gt;=80,"جـيد جدا",IF(D49&gt;=70,"جـيد",IF(D49&gt;=60,"متوسط",IF(D49&gt;=50,"مقبول","راسب")))))</f>
        <v>0</v>
      </c>
      <c r="U49" s="5">
        <f>IF(E49&gt;=90,"امتياز",IF(E49&gt;=80,"جـيد جدا",IF(E49&gt;=70,"جـيد",IF(E49&gt;=60,"متوسط",IF(E49&gt;=50,"مقبول","راسب")))))</f>
        <v>0</v>
      </c>
      <c r="V49" s="5">
        <f>IF(F49&gt;=90,"امتياز",IF(F49&gt;=80,"جـيد جدا",IF(F49&gt;=70,"جـيد",IF(F49&gt;=60,"متوسط",IF(F49&gt;=50,"مقبول","راسب")))))</f>
        <v>0</v>
      </c>
      <c r="W49" s="5">
        <f>IF(G49&gt;=90,"امتياز",IF(G49&gt;=80,"جـيد جدا",IF(G49&gt;=70,"جـيد",IF(G49&gt;=60,"متوسط",IF(G49&gt;=50,"مقبول","راسب")))))</f>
        <v>0</v>
      </c>
      <c r="X49" s="5">
        <f>IF(H49&gt;=90,"امتياز",IF(H49&gt;=80,"جـيد جدا",IF(H49&gt;=70,"جـيد",IF(H49&gt;=60,"متوسط",IF(H49&gt;=50,"مقبول","راسب")))))</f>
        <v>0</v>
      </c>
      <c r="Y49" s="5">
        <f>IF(I49&gt;=90,"امتياز",IF(I49&gt;=80,"جـيد جدا",IF(I49&gt;=70,"جـيد",IF(I49&gt;=60,"متوسط",IF(I49&gt;=50,"مقبول","راسب")))))</f>
        <v>0</v>
      </c>
      <c r="Z49" s="5">
        <f>IF(J49&gt;=90,"امتياز",IF(J49&gt;=80,"جـيد جدا",IF(J49&gt;=70,"جـيد",IF(J49&gt;=60,"متوسط",IF(J49&gt;=50,"مقبول","راسب")))))</f>
        <v>0</v>
      </c>
      <c r="AA49" s="5">
        <f>IF(K49&gt;=90,"امتياز",IF(K49&gt;=80,"جـيد جدا",IF(K49&gt;=70,"جـيد",IF(K49&gt;=60,"متوسط",IF(K49&gt;=50,"مقبول","راسب")))))</f>
        <v>0</v>
      </c>
      <c r="AB49" s="5">
        <f>IF(L49&gt;=90,"امتياز",IF(L49&gt;=80,"جـيد جدا",IF(L49&gt;=70,"جـيد",IF(L49&gt;=60,"متوسط",IF(L49&gt;=50,"مقبول","راسب")))))</f>
        <v>0</v>
      </c>
      <c r="AC49" s="5">
        <f>IF(M49&gt;=90,"امتياز",IF(M49&gt;=80,"جـيد جدا",IF(M49&gt;=70,"جـيد",IF(M49&gt;=60,"متوسط",IF(M49&gt;=50,"مقبول","راسب")))))</f>
        <v>0</v>
      </c>
      <c r="AD49" s="5">
        <f>IF(N49&gt;=90,"امتياز",IF(N49&gt;=80,"جـيد جدا",IF(N49&gt;=70,"جـيد",IF(N49&gt;=60,"متوسط",IF(N49&gt;=50,"مقبول","راسب")))))</f>
        <v>0</v>
      </c>
      <c r="AE49" s="5">
        <f>MasterSheet!AA213</f>
        <v>0</v>
      </c>
      <c r="AF49" s="5">
        <f>MasterSheet!AB213</f>
        <v>0</v>
      </c>
      <c r="AG49" s="5">
        <f>MasterSheet!AC213</f>
        <v>0</v>
      </c>
      <c r="AL49" s="5">
        <f>IF(D49 &gt;=50,"P","F")</f>
        <v>0</v>
      </c>
      <c r="AM49" s="5">
        <f>IF(E49 &gt;=50,"P","F")</f>
        <v>0</v>
      </c>
      <c r="AN49" s="5">
        <f>IF(F49 &gt;=50,"P","F")</f>
        <v>0</v>
      </c>
      <c r="AO49" s="5">
        <f>IF(G49 &gt;=50,"P","F")</f>
        <v>0</v>
      </c>
      <c r="AP49" s="5">
        <f>IF(H49 &gt;=50,"P","F")</f>
        <v>0</v>
      </c>
      <c r="AQ49" s="5">
        <f>IF(I49 &gt;=50,"P","F")</f>
        <v>0</v>
      </c>
      <c r="AR49" s="5">
        <f>IF(J49 &gt;=50,"P","F")</f>
        <v>0</v>
      </c>
      <c r="AS49" s="5">
        <f>IF(K49 &gt;=50,"P","F")</f>
        <v>0</v>
      </c>
      <c r="AT49" s="5">
        <f>IF(L49 &gt;=50,"P","F")</f>
        <v>0</v>
      </c>
      <c r="AU49" s="5">
        <f>IF(M49 &gt;=50,"P","F")</f>
        <v>0</v>
      </c>
      <c r="AV49" s="5">
        <f>IF(N49 &gt;=50,"P","F")</f>
        <v>0</v>
      </c>
      <c r="AW49" s="5">
        <f>IF(AND(N49&gt;=50,N49&gt;=50,F49&gt;=50,G49&gt;=50,H49&gt;=50,I49&gt;=50,J49&gt;=50,K49&gt;=50,L49&gt;=50,M49&gt;=50),"P","F")</f>
        <v>0</v>
      </c>
    </row>
    <row r="50" spans="1:49">
      <c r="A50" s="5">
        <f>MasterSheet!B216</f>
        <v>0</v>
      </c>
      <c r="B50" s="5">
        <f>MasterSheet!C216</f>
        <v>0</v>
      </c>
      <c r="C50" s="5">
        <f>MasterSheet!D216</f>
        <v>0</v>
      </c>
      <c r="D50" s="5">
        <f>MasterSheet!E216</f>
        <v>0</v>
      </c>
      <c r="E50" s="5">
        <f>MasterSheet!G216</f>
        <v>0</v>
      </c>
      <c r="F50" s="5">
        <f>MasterSheet!I216</f>
        <v>0</v>
      </c>
      <c r="G50" s="5">
        <f>MasterSheet!K216</f>
        <v>0</v>
      </c>
      <c r="H50" s="5">
        <f>MasterSheet!M216</f>
        <v>0</v>
      </c>
      <c r="I50" s="5">
        <f>MasterSheet!O216</f>
        <v>0</v>
      </c>
      <c r="J50" s="5">
        <f>MasterSheet!Q216</f>
        <v>0</v>
      </c>
      <c r="K50" s="5">
        <f>MasterSheet!S216</f>
        <v>0</v>
      </c>
      <c r="L50" s="5">
        <f>MasterSheet!U216</f>
        <v>0</v>
      </c>
      <c r="M50" s="5">
        <f>MasterSheet!W216</f>
        <v>0</v>
      </c>
      <c r="N50" s="5">
        <f>MasterSheet!Y216</f>
        <v>0</v>
      </c>
      <c r="O50" s="5">
        <f>MasterSheet!AA216</f>
        <v>0</v>
      </c>
      <c r="P50" s="5">
        <f>MasterSheet!AB216</f>
        <v>0</v>
      </c>
      <c r="Q50" s="5">
        <f>MasterSheet!AC216</f>
        <v>0</v>
      </c>
      <c r="R50" s="5">
        <f>A50</f>
        <v>0</v>
      </c>
      <c r="S50" s="5">
        <f>B50</f>
        <v>0</v>
      </c>
      <c r="T50" s="5">
        <f>IF(D50&gt;=90,"امتياز",IF(D50&gt;=80,"جـيد جدا",IF(D50&gt;=70,"جـيد",IF(D50&gt;=60,"متوسط",IF(D50&gt;=50,"مقبول","راسب")))))</f>
        <v>0</v>
      </c>
      <c r="U50" s="5">
        <f>IF(E50&gt;=90,"امتياز",IF(E50&gt;=80,"جـيد جدا",IF(E50&gt;=70,"جـيد",IF(E50&gt;=60,"متوسط",IF(E50&gt;=50,"مقبول","راسب")))))</f>
        <v>0</v>
      </c>
      <c r="V50" s="5">
        <f>IF(F50&gt;=90,"امتياز",IF(F50&gt;=80,"جـيد جدا",IF(F50&gt;=70,"جـيد",IF(F50&gt;=60,"متوسط",IF(F50&gt;=50,"مقبول","راسب")))))</f>
        <v>0</v>
      </c>
      <c r="W50" s="5">
        <f>IF(G50&gt;=90,"امتياز",IF(G50&gt;=80,"جـيد جدا",IF(G50&gt;=70,"جـيد",IF(G50&gt;=60,"متوسط",IF(G50&gt;=50,"مقبول","راسب")))))</f>
        <v>0</v>
      </c>
      <c r="X50" s="5">
        <f>IF(H50&gt;=90,"امتياز",IF(H50&gt;=80,"جـيد جدا",IF(H50&gt;=70,"جـيد",IF(H50&gt;=60,"متوسط",IF(H50&gt;=50,"مقبول","راسب")))))</f>
        <v>0</v>
      </c>
      <c r="Y50" s="5">
        <f>IF(I50&gt;=90,"امتياز",IF(I50&gt;=80,"جـيد جدا",IF(I50&gt;=70,"جـيد",IF(I50&gt;=60,"متوسط",IF(I50&gt;=50,"مقبول","راسب")))))</f>
        <v>0</v>
      </c>
      <c r="Z50" s="5">
        <f>IF(J50&gt;=90,"امتياز",IF(J50&gt;=80,"جـيد جدا",IF(J50&gt;=70,"جـيد",IF(J50&gt;=60,"متوسط",IF(J50&gt;=50,"مقبول","راسب")))))</f>
        <v>0</v>
      </c>
      <c r="AA50" s="5">
        <f>IF(K50&gt;=90,"امتياز",IF(K50&gt;=80,"جـيد جدا",IF(K50&gt;=70,"جـيد",IF(K50&gt;=60,"متوسط",IF(K50&gt;=50,"مقبول","راسب")))))</f>
        <v>0</v>
      </c>
      <c r="AB50" s="5">
        <f>IF(L50&gt;=90,"امتياز",IF(L50&gt;=80,"جـيد جدا",IF(L50&gt;=70,"جـيد",IF(L50&gt;=60,"متوسط",IF(L50&gt;=50,"مقبول","راسب")))))</f>
        <v>0</v>
      </c>
      <c r="AC50" s="5">
        <f>IF(M50&gt;=90,"امتياز",IF(M50&gt;=80,"جـيد جدا",IF(M50&gt;=70,"جـيد",IF(M50&gt;=60,"متوسط",IF(M50&gt;=50,"مقبول","راسب")))))</f>
        <v>0</v>
      </c>
      <c r="AD50" s="5">
        <f>IF(N50&gt;=90,"امتياز",IF(N50&gt;=80,"جـيد جدا",IF(N50&gt;=70,"جـيد",IF(N50&gt;=60,"متوسط",IF(N50&gt;=50,"مقبول","راسب")))))</f>
        <v>0</v>
      </c>
      <c r="AE50" s="5">
        <f>MasterSheet!AA216</f>
        <v>0</v>
      </c>
      <c r="AF50" s="5">
        <f>MasterSheet!AB216</f>
        <v>0</v>
      </c>
      <c r="AG50" s="5">
        <f>MasterSheet!AC216</f>
        <v>0</v>
      </c>
      <c r="AL50" s="5">
        <f>IF(D50 &gt;=50,"P","F")</f>
        <v>0</v>
      </c>
      <c r="AM50" s="5">
        <f>IF(E50 &gt;=50,"P","F")</f>
        <v>0</v>
      </c>
      <c r="AN50" s="5">
        <f>IF(F50 &gt;=50,"P","F")</f>
        <v>0</v>
      </c>
      <c r="AO50" s="5">
        <f>IF(G50 &gt;=50,"P","F")</f>
        <v>0</v>
      </c>
      <c r="AP50" s="5">
        <f>IF(H50 &gt;=50,"P","F")</f>
        <v>0</v>
      </c>
      <c r="AQ50" s="5">
        <f>IF(I50 &gt;=50,"P","F")</f>
        <v>0</v>
      </c>
      <c r="AR50" s="5">
        <f>IF(J50 &gt;=50,"P","F")</f>
        <v>0</v>
      </c>
      <c r="AS50" s="5">
        <f>IF(K50 &gt;=50,"P","F")</f>
        <v>0</v>
      </c>
      <c r="AT50" s="5">
        <f>IF(L50 &gt;=50,"P","F")</f>
        <v>0</v>
      </c>
      <c r="AU50" s="5">
        <f>IF(M50 &gt;=50,"P","F")</f>
        <v>0</v>
      </c>
      <c r="AV50" s="5">
        <f>IF(N50 &gt;=50,"P","F")</f>
        <v>0</v>
      </c>
      <c r="AW50" s="5">
        <f>IF(AND(N50&gt;=50,N50&gt;=50,F50&gt;=50,G50&gt;=50,H50&gt;=50,I50&gt;=50,J50&gt;=50,K50&gt;=50,L50&gt;=50,M50&gt;=50),"P","F")</f>
        <v>0</v>
      </c>
    </row>
    <row r="51" spans="1:49">
      <c r="A51" s="5">
        <f>MasterSheet!B219</f>
        <v>0</v>
      </c>
      <c r="B51" s="5">
        <f>MasterSheet!C219</f>
        <v>0</v>
      </c>
      <c r="C51" s="5">
        <f>MasterSheet!D219</f>
        <v>0</v>
      </c>
      <c r="D51" s="5">
        <f>MasterSheet!E219</f>
        <v>0</v>
      </c>
      <c r="E51" s="5">
        <f>MasterSheet!G219</f>
        <v>0</v>
      </c>
      <c r="F51" s="5">
        <f>MasterSheet!I219</f>
        <v>0</v>
      </c>
      <c r="G51" s="5">
        <f>MasterSheet!K219</f>
        <v>0</v>
      </c>
      <c r="H51" s="5">
        <f>MasterSheet!M219</f>
        <v>0</v>
      </c>
      <c r="I51" s="5">
        <f>MasterSheet!O219</f>
        <v>0</v>
      </c>
      <c r="J51" s="5">
        <f>MasterSheet!Q219</f>
        <v>0</v>
      </c>
      <c r="K51" s="5">
        <f>MasterSheet!S219</f>
        <v>0</v>
      </c>
      <c r="L51" s="5">
        <f>MasterSheet!U219</f>
        <v>0</v>
      </c>
      <c r="M51" s="5">
        <f>MasterSheet!W219</f>
        <v>0</v>
      </c>
      <c r="N51" s="5">
        <f>MasterSheet!Y219</f>
        <v>0</v>
      </c>
      <c r="O51" s="5">
        <f>MasterSheet!AA219</f>
        <v>0</v>
      </c>
      <c r="P51" s="5">
        <f>MasterSheet!AB219</f>
        <v>0</v>
      </c>
      <c r="Q51" s="5">
        <f>MasterSheet!AC219</f>
        <v>0</v>
      </c>
      <c r="R51" s="5">
        <f>A51</f>
        <v>0</v>
      </c>
      <c r="S51" s="5">
        <f>B51</f>
        <v>0</v>
      </c>
      <c r="T51" s="5">
        <f>IF(D51&gt;=90,"امتياز",IF(D51&gt;=80,"جـيد جدا",IF(D51&gt;=70,"جـيد",IF(D51&gt;=60,"متوسط",IF(D51&gt;=50,"مقبول","راسب")))))</f>
        <v>0</v>
      </c>
      <c r="U51" s="5">
        <f>IF(E51&gt;=90,"امتياز",IF(E51&gt;=80,"جـيد جدا",IF(E51&gt;=70,"جـيد",IF(E51&gt;=60,"متوسط",IF(E51&gt;=50,"مقبول","راسب")))))</f>
        <v>0</v>
      </c>
      <c r="V51" s="5">
        <f>IF(F51&gt;=90,"امتياز",IF(F51&gt;=80,"جـيد جدا",IF(F51&gt;=70,"جـيد",IF(F51&gt;=60,"متوسط",IF(F51&gt;=50,"مقبول","راسب")))))</f>
        <v>0</v>
      </c>
      <c r="W51" s="5">
        <f>IF(G51&gt;=90,"امتياز",IF(G51&gt;=80,"جـيد جدا",IF(G51&gt;=70,"جـيد",IF(G51&gt;=60,"متوسط",IF(G51&gt;=50,"مقبول","راسب")))))</f>
        <v>0</v>
      </c>
      <c r="X51" s="5">
        <f>IF(H51&gt;=90,"امتياز",IF(H51&gt;=80,"جـيد جدا",IF(H51&gt;=70,"جـيد",IF(H51&gt;=60,"متوسط",IF(H51&gt;=50,"مقبول","راسب")))))</f>
        <v>0</v>
      </c>
      <c r="Y51" s="5">
        <f>IF(I51&gt;=90,"امتياز",IF(I51&gt;=80,"جـيد جدا",IF(I51&gt;=70,"جـيد",IF(I51&gt;=60,"متوسط",IF(I51&gt;=50,"مقبول","راسب")))))</f>
        <v>0</v>
      </c>
      <c r="Z51" s="5">
        <f>IF(J51&gt;=90,"امتياز",IF(J51&gt;=80,"جـيد جدا",IF(J51&gt;=70,"جـيد",IF(J51&gt;=60,"متوسط",IF(J51&gt;=50,"مقبول","راسب")))))</f>
        <v>0</v>
      </c>
      <c r="AA51" s="5">
        <f>IF(K51&gt;=90,"امتياز",IF(K51&gt;=80,"جـيد جدا",IF(K51&gt;=70,"جـيد",IF(K51&gt;=60,"متوسط",IF(K51&gt;=50,"مقبول","راسب")))))</f>
        <v>0</v>
      </c>
      <c r="AB51" s="5">
        <f>IF(L51&gt;=90,"امتياز",IF(L51&gt;=80,"جـيد جدا",IF(L51&gt;=70,"جـيد",IF(L51&gt;=60,"متوسط",IF(L51&gt;=50,"مقبول","راسب")))))</f>
        <v>0</v>
      </c>
      <c r="AC51" s="5">
        <f>IF(M51&gt;=90,"امتياز",IF(M51&gt;=80,"جـيد جدا",IF(M51&gt;=70,"جـيد",IF(M51&gt;=60,"متوسط",IF(M51&gt;=50,"مقبول","راسب")))))</f>
        <v>0</v>
      </c>
      <c r="AD51" s="5">
        <f>IF(N51&gt;=90,"امتياز",IF(N51&gt;=80,"جـيد جدا",IF(N51&gt;=70,"جـيد",IF(N51&gt;=60,"متوسط",IF(N51&gt;=50,"مقبول","راسب")))))</f>
        <v>0</v>
      </c>
      <c r="AE51" s="5">
        <f>MasterSheet!AA219</f>
        <v>0</v>
      </c>
      <c r="AF51" s="5">
        <f>MasterSheet!AB219</f>
        <v>0</v>
      </c>
      <c r="AG51" s="5">
        <f>MasterSheet!AC219</f>
        <v>0</v>
      </c>
      <c r="AL51" s="5">
        <f>IF(D51 &gt;=50,"P","F")</f>
        <v>0</v>
      </c>
      <c r="AM51" s="5">
        <f>IF(E51 &gt;=50,"P","F")</f>
        <v>0</v>
      </c>
      <c r="AN51" s="5">
        <f>IF(F51 &gt;=50,"P","F")</f>
        <v>0</v>
      </c>
      <c r="AO51" s="5">
        <f>IF(G51 &gt;=50,"P","F")</f>
        <v>0</v>
      </c>
      <c r="AP51" s="5">
        <f>IF(H51 &gt;=50,"P","F")</f>
        <v>0</v>
      </c>
      <c r="AQ51" s="5">
        <f>IF(I51 &gt;=50,"P","F")</f>
        <v>0</v>
      </c>
      <c r="AR51" s="5">
        <f>IF(J51 &gt;=50,"P","F")</f>
        <v>0</v>
      </c>
      <c r="AS51" s="5">
        <f>IF(K51 &gt;=50,"P","F")</f>
        <v>0</v>
      </c>
      <c r="AT51" s="5">
        <f>IF(L51 &gt;=50,"P","F")</f>
        <v>0</v>
      </c>
      <c r="AU51" s="5">
        <f>IF(M51 &gt;=50,"P","F")</f>
        <v>0</v>
      </c>
      <c r="AV51" s="5">
        <f>IF(N51 &gt;=50,"P","F")</f>
        <v>0</v>
      </c>
      <c r="AW51" s="5">
        <f>IF(AND(N51&gt;=50,N51&gt;=50,F51&gt;=50,G51&gt;=50,H51&gt;=50,I51&gt;=50,J51&gt;=50,K51&gt;=50,L51&gt;=50,M51&gt;=50),"P","F")</f>
        <v>0</v>
      </c>
    </row>
    <row r="52" spans="1:49">
      <c r="A52" s="5">
        <f>MasterSheet!B222</f>
        <v>0</v>
      </c>
      <c r="B52" s="5">
        <f>MasterSheet!C222</f>
        <v>0</v>
      </c>
      <c r="C52" s="5">
        <f>MasterSheet!D222</f>
        <v>0</v>
      </c>
      <c r="D52" s="5">
        <f>MasterSheet!E222</f>
        <v>0</v>
      </c>
      <c r="E52" s="5">
        <f>MasterSheet!G222</f>
        <v>0</v>
      </c>
      <c r="F52" s="5">
        <f>MasterSheet!I222</f>
        <v>0</v>
      </c>
      <c r="G52" s="5">
        <f>MasterSheet!K222</f>
        <v>0</v>
      </c>
      <c r="H52" s="5">
        <f>MasterSheet!M222</f>
        <v>0</v>
      </c>
      <c r="I52" s="5">
        <f>MasterSheet!O222</f>
        <v>0</v>
      </c>
      <c r="J52" s="5">
        <f>MasterSheet!Q222</f>
        <v>0</v>
      </c>
      <c r="K52" s="5">
        <f>MasterSheet!S222</f>
        <v>0</v>
      </c>
      <c r="L52" s="5">
        <f>MasterSheet!U222</f>
        <v>0</v>
      </c>
      <c r="M52" s="5">
        <f>MasterSheet!W222</f>
        <v>0</v>
      </c>
      <c r="N52" s="5">
        <f>MasterSheet!Y222</f>
        <v>0</v>
      </c>
      <c r="O52" s="5">
        <f>MasterSheet!AA222</f>
        <v>0</v>
      </c>
      <c r="P52" s="5">
        <f>MasterSheet!AB222</f>
        <v>0</v>
      </c>
      <c r="Q52" s="5">
        <f>MasterSheet!AC222</f>
        <v>0</v>
      </c>
      <c r="R52" s="5">
        <f>A52</f>
        <v>0</v>
      </c>
      <c r="S52" s="5">
        <f>B52</f>
        <v>0</v>
      </c>
      <c r="T52" s="5">
        <f>IF(D52&gt;=90,"امتياز",IF(D52&gt;=80,"جـيد جدا",IF(D52&gt;=70,"جـيد",IF(D52&gt;=60,"متوسط",IF(D52&gt;=50,"مقبول","راسب")))))</f>
        <v>0</v>
      </c>
      <c r="U52" s="5">
        <f>IF(E52&gt;=90,"امتياز",IF(E52&gt;=80,"جـيد جدا",IF(E52&gt;=70,"جـيد",IF(E52&gt;=60,"متوسط",IF(E52&gt;=50,"مقبول","راسب")))))</f>
        <v>0</v>
      </c>
      <c r="V52" s="5">
        <f>IF(F52&gt;=90,"امتياز",IF(F52&gt;=80,"جـيد جدا",IF(F52&gt;=70,"جـيد",IF(F52&gt;=60,"متوسط",IF(F52&gt;=50,"مقبول","راسب")))))</f>
        <v>0</v>
      </c>
      <c r="W52" s="5">
        <f>IF(G52&gt;=90,"امتياز",IF(G52&gt;=80,"جـيد جدا",IF(G52&gt;=70,"جـيد",IF(G52&gt;=60,"متوسط",IF(G52&gt;=50,"مقبول","راسب")))))</f>
        <v>0</v>
      </c>
      <c r="X52" s="5">
        <f>IF(H52&gt;=90,"امتياز",IF(H52&gt;=80,"جـيد جدا",IF(H52&gt;=70,"جـيد",IF(H52&gt;=60,"متوسط",IF(H52&gt;=50,"مقبول","راسب")))))</f>
        <v>0</v>
      </c>
      <c r="Y52" s="5">
        <f>IF(I52&gt;=90,"امتياز",IF(I52&gt;=80,"جـيد جدا",IF(I52&gt;=70,"جـيد",IF(I52&gt;=60,"متوسط",IF(I52&gt;=50,"مقبول","راسب")))))</f>
        <v>0</v>
      </c>
      <c r="Z52" s="5">
        <f>IF(J52&gt;=90,"امتياز",IF(J52&gt;=80,"جـيد جدا",IF(J52&gt;=70,"جـيد",IF(J52&gt;=60,"متوسط",IF(J52&gt;=50,"مقبول","راسب")))))</f>
        <v>0</v>
      </c>
      <c r="AA52" s="5">
        <f>IF(K52&gt;=90,"امتياز",IF(K52&gt;=80,"جـيد جدا",IF(K52&gt;=70,"جـيد",IF(K52&gt;=60,"متوسط",IF(K52&gt;=50,"مقبول","راسب")))))</f>
        <v>0</v>
      </c>
      <c r="AB52" s="5">
        <f>IF(L52&gt;=90,"امتياز",IF(L52&gt;=80,"جـيد جدا",IF(L52&gt;=70,"جـيد",IF(L52&gt;=60,"متوسط",IF(L52&gt;=50,"مقبول","راسب")))))</f>
        <v>0</v>
      </c>
      <c r="AC52" s="5">
        <f>IF(M52&gt;=90,"امتياز",IF(M52&gt;=80,"جـيد جدا",IF(M52&gt;=70,"جـيد",IF(M52&gt;=60,"متوسط",IF(M52&gt;=50,"مقبول","راسب")))))</f>
        <v>0</v>
      </c>
      <c r="AD52" s="5">
        <f>IF(N52&gt;=90,"امتياز",IF(N52&gt;=80,"جـيد جدا",IF(N52&gt;=70,"جـيد",IF(N52&gt;=60,"متوسط",IF(N52&gt;=50,"مقبول","راسب")))))</f>
        <v>0</v>
      </c>
      <c r="AE52" s="5">
        <f>MasterSheet!AA222</f>
        <v>0</v>
      </c>
      <c r="AF52" s="5">
        <f>MasterSheet!AB222</f>
        <v>0</v>
      </c>
      <c r="AG52" s="5">
        <f>MasterSheet!AC222</f>
        <v>0</v>
      </c>
      <c r="AL52" s="5">
        <f>IF(D52 &gt;=50,"P","F")</f>
        <v>0</v>
      </c>
      <c r="AM52" s="5">
        <f>IF(E52 &gt;=50,"P","F")</f>
        <v>0</v>
      </c>
      <c r="AN52" s="5">
        <f>IF(F52 &gt;=50,"P","F")</f>
        <v>0</v>
      </c>
      <c r="AO52" s="5">
        <f>IF(G52 &gt;=50,"P","F")</f>
        <v>0</v>
      </c>
      <c r="AP52" s="5">
        <f>IF(H52 &gt;=50,"P","F")</f>
        <v>0</v>
      </c>
      <c r="AQ52" s="5">
        <f>IF(I52 &gt;=50,"P","F")</f>
        <v>0</v>
      </c>
      <c r="AR52" s="5">
        <f>IF(J52 &gt;=50,"P","F")</f>
        <v>0</v>
      </c>
      <c r="AS52" s="5">
        <f>IF(K52 &gt;=50,"P","F")</f>
        <v>0</v>
      </c>
      <c r="AT52" s="5">
        <f>IF(L52 &gt;=50,"P","F")</f>
        <v>0</v>
      </c>
      <c r="AU52" s="5">
        <f>IF(M52 &gt;=50,"P","F")</f>
        <v>0</v>
      </c>
      <c r="AV52" s="5">
        <f>IF(N52 &gt;=50,"P","F")</f>
        <v>0</v>
      </c>
      <c r="AW52" s="5">
        <f>IF(AND(N52&gt;=50,N52&gt;=50,F52&gt;=50,G52&gt;=50,H52&gt;=50,I52&gt;=50,J52&gt;=50,K52&gt;=50,L52&gt;=50,M52&gt;=50),"P","F")</f>
        <v>0</v>
      </c>
    </row>
    <row r="53" spans="1:49">
      <c r="A53" s="5">
        <f>MasterSheet!B225</f>
        <v>0</v>
      </c>
      <c r="B53" s="5">
        <f>MasterSheet!C225</f>
        <v>0</v>
      </c>
      <c r="C53" s="5">
        <f>MasterSheet!D225</f>
        <v>0</v>
      </c>
      <c r="D53" s="5">
        <f>MasterSheet!E225</f>
        <v>0</v>
      </c>
      <c r="E53" s="5">
        <f>MasterSheet!G225</f>
        <v>0</v>
      </c>
      <c r="F53" s="5">
        <f>MasterSheet!I225</f>
        <v>0</v>
      </c>
      <c r="G53" s="5">
        <f>MasterSheet!K225</f>
        <v>0</v>
      </c>
      <c r="H53" s="5">
        <f>MasterSheet!M225</f>
        <v>0</v>
      </c>
      <c r="I53" s="5">
        <f>MasterSheet!O225</f>
        <v>0</v>
      </c>
      <c r="J53" s="5">
        <f>MasterSheet!Q225</f>
        <v>0</v>
      </c>
      <c r="K53" s="5">
        <f>MasterSheet!S225</f>
        <v>0</v>
      </c>
      <c r="L53" s="5">
        <f>MasterSheet!U225</f>
        <v>0</v>
      </c>
      <c r="M53" s="5">
        <f>MasterSheet!W225</f>
        <v>0</v>
      </c>
      <c r="N53" s="5">
        <f>MasterSheet!Y225</f>
        <v>0</v>
      </c>
      <c r="O53" s="5">
        <f>MasterSheet!AA225</f>
        <v>0</v>
      </c>
      <c r="P53" s="5">
        <f>MasterSheet!AB225</f>
        <v>0</v>
      </c>
      <c r="Q53" s="5">
        <f>MasterSheet!AC225</f>
        <v>0</v>
      </c>
      <c r="R53" s="5">
        <f>A53</f>
        <v>0</v>
      </c>
      <c r="S53" s="5">
        <f>B53</f>
        <v>0</v>
      </c>
      <c r="T53" s="5">
        <f>IF(D53&gt;=90,"امتياز",IF(D53&gt;=80,"جـيد جدا",IF(D53&gt;=70,"جـيد",IF(D53&gt;=60,"متوسط",IF(D53&gt;=50,"مقبول","راسب")))))</f>
        <v>0</v>
      </c>
      <c r="U53" s="5">
        <f>IF(E53&gt;=90,"امتياز",IF(E53&gt;=80,"جـيد جدا",IF(E53&gt;=70,"جـيد",IF(E53&gt;=60,"متوسط",IF(E53&gt;=50,"مقبول","راسب")))))</f>
        <v>0</v>
      </c>
      <c r="V53" s="5">
        <f>IF(F53&gt;=90,"امتياز",IF(F53&gt;=80,"جـيد جدا",IF(F53&gt;=70,"جـيد",IF(F53&gt;=60,"متوسط",IF(F53&gt;=50,"مقبول","راسب")))))</f>
        <v>0</v>
      </c>
      <c r="W53" s="5">
        <f>IF(G53&gt;=90,"امتياز",IF(G53&gt;=80,"جـيد جدا",IF(G53&gt;=70,"جـيد",IF(G53&gt;=60,"متوسط",IF(G53&gt;=50,"مقبول","راسب")))))</f>
        <v>0</v>
      </c>
      <c r="X53" s="5">
        <f>IF(H53&gt;=90,"امتياز",IF(H53&gt;=80,"جـيد جدا",IF(H53&gt;=70,"جـيد",IF(H53&gt;=60,"متوسط",IF(H53&gt;=50,"مقبول","راسب")))))</f>
        <v>0</v>
      </c>
      <c r="Y53" s="5">
        <f>IF(I53&gt;=90,"امتياز",IF(I53&gt;=80,"جـيد جدا",IF(I53&gt;=70,"جـيد",IF(I53&gt;=60,"متوسط",IF(I53&gt;=50,"مقبول","راسب")))))</f>
        <v>0</v>
      </c>
      <c r="Z53" s="5">
        <f>IF(J53&gt;=90,"امتياز",IF(J53&gt;=80,"جـيد جدا",IF(J53&gt;=70,"جـيد",IF(J53&gt;=60,"متوسط",IF(J53&gt;=50,"مقبول","راسب")))))</f>
        <v>0</v>
      </c>
      <c r="AA53" s="5">
        <f>IF(K53&gt;=90,"امتياز",IF(K53&gt;=80,"جـيد جدا",IF(K53&gt;=70,"جـيد",IF(K53&gt;=60,"متوسط",IF(K53&gt;=50,"مقبول","راسب")))))</f>
        <v>0</v>
      </c>
      <c r="AB53" s="5">
        <f>IF(L53&gt;=90,"امتياز",IF(L53&gt;=80,"جـيد جدا",IF(L53&gt;=70,"جـيد",IF(L53&gt;=60,"متوسط",IF(L53&gt;=50,"مقبول","راسب")))))</f>
        <v>0</v>
      </c>
      <c r="AC53" s="5">
        <f>IF(M53&gt;=90,"امتياز",IF(M53&gt;=80,"جـيد جدا",IF(M53&gt;=70,"جـيد",IF(M53&gt;=60,"متوسط",IF(M53&gt;=50,"مقبول","راسب")))))</f>
        <v>0</v>
      </c>
      <c r="AD53" s="5">
        <f>IF(N53&gt;=90,"امتياز",IF(N53&gt;=80,"جـيد جدا",IF(N53&gt;=70,"جـيد",IF(N53&gt;=60,"متوسط",IF(N53&gt;=50,"مقبول","راسب")))))</f>
        <v>0</v>
      </c>
      <c r="AE53" s="5">
        <f>MasterSheet!AA225</f>
        <v>0</v>
      </c>
      <c r="AF53" s="5">
        <f>MasterSheet!AB225</f>
        <v>0</v>
      </c>
      <c r="AG53" s="5">
        <f>MasterSheet!AC225</f>
        <v>0</v>
      </c>
      <c r="AL53" s="5">
        <f>IF(D53 &gt;=50,"P","F")</f>
        <v>0</v>
      </c>
      <c r="AM53" s="5">
        <f>IF(E53 &gt;=50,"P","F")</f>
        <v>0</v>
      </c>
      <c r="AN53" s="5">
        <f>IF(F53 &gt;=50,"P","F")</f>
        <v>0</v>
      </c>
      <c r="AO53" s="5">
        <f>IF(G53 &gt;=50,"P","F")</f>
        <v>0</v>
      </c>
      <c r="AP53" s="5">
        <f>IF(H53 &gt;=50,"P","F")</f>
        <v>0</v>
      </c>
      <c r="AQ53" s="5">
        <f>IF(I53 &gt;=50,"P","F")</f>
        <v>0</v>
      </c>
      <c r="AR53" s="5">
        <f>IF(J53 &gt;=50,"P","F")</f>
        <v>0</v>
      </c>
      <c r="AS53" s="5">
        <f>IF(K53 &gt;=50,"P","F")</f>
        <v>0</v>
      </c>
      <c r="AT53" s="5">
        <f>IF(L53 &gt;=50,"P","F")</f>
        <v>0</v>
      </c>
      <c r="AU53" s="5">
        <f>IF(M53 &gt;=50,"P","F")</f>
        <v>0</v>
      </c>
      <c r="AV53" s="5">
        <f>IF(N53 &gt;=50,"P","F")</f>
        <v>0</v>
      </c>
      <c r="AW53" s="5">
        <f>IF(AND(N53&gt;=50,N53&gt;=50,F53&gt;=50,G53&gt;=50,H53&gt;=50,I53&gt;=50,J53&gt;=50,K53&gt;=50,L53&gt;=50,M53&gt;=50),"P","F")</f>
        <v>0</v>
      </c>
    </row>
    <row r="54" spans="1:49">
      <c r="A54" s="5">
        <f>MasterSheet!B228</f>
        <v>0</v>
      </c>
      <c r="B54" s="5">
        <f>MasterSheet!C228</f>
        <v>0</v>
      </c>
      <c r="C54" s="5">
        <f>MasterSheet!D228</f>
        <v>0</v>
      </c>
      <c r="D54" s="5">
        <f>MasterSheet!E228</f>
        <v>0</v>
      </c>
      <c r="E54" s="5">
        <f>MasterSheet!G228</f>
        <v>0</v>
      </c>
      <c r="F54" s="5">
        <f>MasterSheet!I228</f>
        <v>0</v>
      </c>
      <c r="G54" s="5">
        <f>MasterSheet!K228</f>
        <v>0</v>
      </c>
      <c r="H54" s="5">
        <f>MasterSheet!M228</f>
        <v>0</v>
      </c>
      <c r="I54" s="5">
        <f>MasterSheet!O228</f>
        <v>0</v>
      </c>
      <c r="J54" s="5">
        <f>MasterSheet!Q228</f>
        <v>0</v>
      </c>
      <c r="K54" s="5">
        <f>MasterSheet!S228</f>
        <v>0</v>
      </c>
      <c r="L54" s="5">
        <f>MasterSheet!U228</f>
        <v>0</v>
      </c>
      <c r="M54" s="5">
        <f>MasterSheet!W228</f>
        <v>0</v>
      </c>
      <c r="N54" s="5">
        <f>MasterSheet!Y228</f>
        <v>0</v>
      </c>
      <c r="O54" s="5">
        <f>MasterSheet!AA228</f>
        <v>0</v>
      </c>
      <c r="P54" s="5">
        <f>MasterSheet!AB228</f>
        <v>0</v>
      </c>
      <c r="Q54" s="5">
        <f>MasterSheet!AC228</f>
        <v>0</v>
      </c>
      <c r="R54" s="5">
        <f>A54</f>
        <v>0</v>
      </c>
      <c r="S54" s="5">
        <f>B54</f>
        <v>0</v>
      </c>
      <c r="T54" s="5">
        <f>IF(D54&gt;=90,"امتياز",IF(D54&gt;=80,"جـيد جدا",IF(D54&gt;=70,"جـيد",IF(D54&gt;=60,"متوسط",IF(D54&gt;=50,"مقبول","راسب")))))</f>
        <v>0</v>
      </c>
      <c r="U54" s="5">
        <f>IF(E54&gt;=90,"امتياز",IF(E54&gt;=80,"جـيد جدا",IF(E54&gt;=70,"جـيد",IF(E54&gt;=60,"متوسط",IF(E54&gt;=50,"مقبول","راسب")))))</f>
        <v>0</v>
      </c>
      <c r="V54" s="5">
        <f>IF(F54&gt;=90,"امتياز",IF(F54&gt;=80,"جـيد جدا",IF(F54&gt;=70,"جـيد",IF(F54&gt;=60,"متوسط",IF(F54&gt;=50,"مقبول","راسب")))))</f>
        <v>0</v>
      </c>
      <c r="W54" s="5">
        <f>IF(G54&gt;=90,"امتياز",IF(G54&gt;=80,"جـيد جدا",IF(G54&gt;=70,"جـيد",IF(G54&gt;=60,"متوسط",IF(G54&gt;=50,"مقبول","راسب")))))</f>
        <v>0</v>
      </c>
      <c r="X54" s="5">
        <f>IF(H54&gt;=90,"امتياز",IF(H54&gt;=80,"جـيد جدا",IF(H54&gt;=70,"جـيد",IF(H54&gt;=60,"متوسط",IF(H54&gt;=50,"مقبول","راسب")))))</f>
        <v>0</v>
      </c>
      <c r="Y54" s="5">
        <f>IF(I54&gt;=90,"امتياز",IF(I54&gt;=80,"جـيد جدا",IF(I54&gt;=70,"جـيد",IF(I54&gt;=60,"متوسط",IF(I54&gt;=50,"مقبول","راسب")))))</f>
        <v>0</v>
      </c>
      <c r="Z54" s="5">
        <f>IF(J54&gt;=90,"امتياز",IF(J54&gt;=80,"جـيد جدا",IF(J54&gt;=70,"جـيد",IF(J54&gt;=60,"متوسط",IF(J54&gt;=50,"مقبول","راسب")))))</f>
        <v>0</v>
      </c>
      <c r="AA54" s="5">
        <f>IF(K54&gt;=90,"امتياز",IF(K54&gt;=80,"جـيد جدا",IF(K54&gt;=70,"جـيد",IF(K54&gt;=60,"متوسط",IF(K54&gt;=50,"مقبول","راسب")))))</f>
        <v>0</v>
      </c>
      <c r="AB54" s="5">
        <f>IF(L54&gt;=90,"امتياز",IF(L54&gt;=80,"جـيد جدا",IF(L54&gt;=70,"جـيد",IF(L54&gt;=60,"متوسط",IF(L54&gt;=50,"مقبول","راسب")))))</f>
        <v>0</v>
      </c>
      <c r="AC54" s="5">
        <f>IF(M54&gt;=90,"امتياز",IF(M54&gt;=80,"جـيد جدا",IF(M54&gt;=70,"جـيد",IF(M54&gt;=60,"متوسط",IF(M54&gt;=50,"مقبول","راسب")))))</f>
        <v>0</v>
      </c>
      <c r="AD54" s="5">
        <f>IF(N54&gt;=90,"امتياز",IF(N54&gt;=80,"جـيد جدا",IF(N54&gt;=70,"جـيد",IF(N54&gt;=60,"متوسط",IF(N54&gt;=50,"مقبول","راسب")))))</f>
        <v>0</v>
      </c>
      <c r="AE54" s="5">
        <f>MasterSheet!AA228</f>
        <v>0</v>
      </c>
      <c r="AF54" s="5">
        <f>MasterSheet!AB228</f>
        <v>0</v>
      </c>
      <c r="AG54" s="5">
        <f>MasterSheet!AC228</f>
        <v>0</v>
      </c>
      <c r="AL54" s="5">
        <f>IF(D54 &gt;=50,"P","F")</f>
        <v>0</v>
      </c>
      <c r="AM54" s="5">
        <f>IF(E54 &gt;=50,"P","F")</f>
        <v>0</v>
      </c>
      <c r="AN54" s="5">
        <f>IF(F54 &gt;=50,"P","F")</f>
        <v>0</v>
      </c>
      <c r="AO54" s="5">
        <f>IF(G54 &gt;=50,"P","F")</f>
        <v>0</v>
      </c>
      <c r="AP54" s="5">
        <f>IF(H54 &gt;=50,"P","F")</f>
        <v>0</v>
      </c>
      <c r="AQ54" s="5">
        <f>IF(I54 &gt;=50,"P","F")</f>
        <v>0</v>
      </c>
      <c r="AR54" s="5">
        <f>IF(J54 &gt;=50,"P","F")</f>
        <v>0</v>
      </c>
      <c r="AS54" s="5">
        <f>IF(K54 &gt;=50,"P","F")</f>
        <v>0</v>
      </c>
      <c r="AT54" s="5">
        <f>IF(L54 &gt;=50,"P","F")</f>
        <v>0</v>
      </c>
      <c r="AU54" s="5">
        <f>IF(M54 &gt;=50,"P","F")</f>
        <v>0</v>
      </c>
      <c r="AV54" s="5">
        <f>IF(N54 &gt;=50,"P","F")</f>
        <v>0</v>
      </c>
      <c r="AW54" s="5">
        <f>IF(AND(N54&gt;=50,N54&gt;=50,F54&gt;=50,G54&gt;=50,H54&gt;=50,I54&gt;=50,J54&gt;=50,K54&gt;=50,L54&gt;=50,M54&gt;=50),"P","F")</f>
        <v>0</v>
      </c>
    </row>
    <row r="55" spans="1:49">
      <c r="A55" s="5">
        <f>MasterSheet!B231</f>
        <v>0</v>
      </c>
      <c r="B55" s="5">
        <f>MasterSheet!C231</f>
        <v>0</v>
      </c>
      <c r="C55" s="5">
        <f>MasterSheet!D231</f>
        <v>0</v>
      </c>
      <c r="D55" s="5">
        <f>MasterSheet!E231</f>
        <v>0</v>
      </c>
      <c r="E55" s="5">
        <f>MasterSheet!G231</f>
        <v>0</v>
      </c>
      <c r="F55" s="5">
        <f>MasterSheet!I231</f>
        <v>0</v>
      </c>
      <c r="G55" s="5">
        <f>MasterSheet!K231</f>
        <v>0</v>
      </c>
      <c r="H55" s="5">
        <f>MasterSheet!M231</f>
        <v>0</v>
      </c>
      <c r="I55" s="5">
        <f>MasterSheet!O231</f>
        <v>0</v>
      </c>
      <c r="J55" s="5">
        <f>MasterSheet!Q231</f>
        <v>0</v>
      </c>
      <c r="K55" s="5">
        <f>MasterSheet!S231</f>
        <v>0</v>
      </c>
      <c r="L55" s="5">
        <f>MasterSheet!U231</f>
        <v>0</v>
      </c>
      <c r="M55" s="5">
        <f>MasterSheet!W231</f>
        <v>0</v>
      </c>
      <c r="N55" s="5">
        <f>MasterSheet!Y231</f>
        <v>0</v>
      </c>
      <c r="O55" s="5">
        <f>MasterSheet!AA231</f>
        <v>0</v>
      </c>
      <c r="P55" s="5">
        <f>MasterSheet!AB231</f>
        <v>0</v>
      </c>
      <c r="Q55" s="5">
        <f>MasterSheet!AC231</f>
        <v>0</v>
      </c>
      <c r="R55" s="5">
        <f>A55</f>
        <v>0</v>
      </c>
      <c r="S55" s="5">
        <f>B55</f>
        <v>0</v>
      </c>
      <c r="T55" s="5">
        <f>IF(D55&gt;=90,"امتياز",IF(D55&gt;=80,"جـيد جدا",IF(D55&gt;=70,"جـيد",IF(D55&gt;=60,"متوسط",IF(D55&gt;=50,"مقبول","راسب")))))</f>
        <v>0</v>
      </c>
      <c r="U55" s="5">
        <f>IF(E55&gt;=90,"امتياز",IF(E55&gt;=80,"جـيد جدا",IF(E55&gt;=70,"جـيد",IF(E55&gt;=60,"متوسط",IF(E55&gt;=50,"مقبول","راسب")))))</f>
        <v>0</v>
      </c>
      <c r="V55" s="5">
        <f>IF(F55&gt;=90,"امتياز",IF(F55&gt;=80,"جـيد جدا",IF(F55&gt;=70,"جـيد",IF(F55&gt;=60,"متوسط",IF(F55&gt;=50,"مقبول","راسب")))))</f>
        <v>0</v>
      </c>
      <c r="W55" s="5">
        <f>IF(G55&gt;=90,"امتياز",IF(G55&gt;=80,"جـيد جدا",IF(G55&gt;=70,"جـيد",IF(G55&gt;=60,"متوسط",IF(G55&gt;=50,"مقبول","راسب")))))</f>
        <v>0</v>
      </c>
      <c r="X55" s="5">
        <f>IF(H55&gt;=90,"امتياز",IF(H55&gt;=80,"جـيد جدا",IF(H55&gt;=70,"جـيد",IF(H55&gt;=60,"متوسط",IF(H55&gt;=50,"مقبول","راسب")))))</f>
        <v>0</v>
      </c>
      <c r="Y55" s="5">
        <f>IF(I55&gt;=90,"امتياز",IF(I55&gt;=80,"جـيد جدا",IF(I55&gt;=70,"جـيد",IF(I55&gt;=60,"متوسط",IF(I55&gt;=50,"مقبول","راسب")))))</f>
        <v>0</v>
      </c>
      <c r="Z55" s="5">
        <f>IF(J55&gt;=90,"امتياز",IF(J55&gt;=80,"جـيد جدا",IF(J55&gt;=70,"جـيد",IF(J55&gt;=60,"متوسط",IF(J55&gt;=50,"مقبول","راسب")))))</f>
        <v>0</v>
      </c>
      <c r="AA55" s="5">
        <f>IF(K55&gt;=90,"امتياز",IF(K55&gt;=80,"جـيد جدا",IF(K55&gt;=70,"جـيد",IF(K55&gt;=60,"متوسط",IF(K55&gt;=50,"مقبول","راسب")))))</f>
        <v>0</v>
      </c>
      <c r="AB55" s="5">
        <f>IF(L55&gt;=90,"امتياز",IF(L55&gt;=80,"جـيد جدا",IF(L55&gt;=70,"جـيد",IF(L55&gt;=60,"متوسط",IF(L55&gt;=50,"مقبول","راسب")))))</f>
        <v>0</v>
      </c>
      <c r="AC55" s="5">
        <f>IF(M55&gt;=90,"امتياز",IF(M55&gt;=80,"جـيد جدا",IF(M55&gt;=70,"جـيد",IF(M55&gt;=60,"متوسط",IF(M55&gt;=50,"مقبول","راسب")))))</f>
        <v>0</v>
      </c>
      <c r="AD55" s="5">
        <f>IF(N55&gt;=90,"امتياز",IF(N55&gt;=80,"جـيد جدا",IF(N55&gt;=70,"جـيد",IF(N55&gt;=60,"متوسط",IF(N55&gt;=50,"مقبول","راسب")))))</f>
        <v>0</v>
      </c>
      <c r="AE55" s="5">
        <f>MasterSheet!AA231</f>
        <v>0</v>
      </c>
      <c r="AF55" s="5">
        <f>MasterSheet!AB231</f>
        <v>0</v>
      </c>
      <c r="AG55" s="5">
        <f>MasterSheet!AC231</f>
        <v>0</v>
      </c>
      <c r="AL55" s="5">
        <f>IF(D55 &gt;=50,"P","F")</f>
        <v>0</v>
      </c>
      <c r="AM55" s="5">
        <f>IF(E55 &gt;=50,"P","F")</f>
        <v>0</v>
      </c>
      <c r="AN55" s="5">
        <f>IF(F55 &gt;=50,"P","F")</f>
        <v>0</v>
      </c>
      <c r="AO55" s="5">
        <f>IF(G55 &gt;=50,"P","F")</f>
        <v>0</v>
      </c>
      <c r="AP55" s="5">
        <f>IF(H55 &gt;=50,"P","F")</f>
        <v>0</v>
      </c>
      <c r="AQ55" s="5">
        <f>IF(I55 &gt;=50,"P","F")</f>
        <v>0</v>
      </c>
      <c r="AR55" s="5">
        <f>IF(J55 &gt;=50,"P","F")</f>
        <v>0</v>
      </c>
      <c r="AS55" s="5">
        <f>IF(K55 &gt;=50,"P","F")</f>
        <v>0</v>
      </c>
      <c r="AT55" s="5">
        <f>IF(L55 &gt;=50,"P","F")</f>
        <v>0</v>
      </c>
      <c r="AU55" s="5">
        <f>IF(M55 &gt;=50,"P","F")</f>
        <v>0</v>
      </c>
      <c r="AV55" s="5">
        <f>IF(N55 &gt;=50,"P","F")</f>
        <v>0</v>
      </c>
      <c r="AW55" s="5">
        <f>IF(AND(N55&gt;=50,N55&gt;=50,F55&gt;=50,G55&gt;=50,H55&gt;=50,I55&gt;=50,J55&gt;=50,K55&gt;=50,L55&gt;=50,M55&gt;=50),"P","F")</f>
        <v>0</v>
      </c>
    </row>
    <row r="56" spans="1:49">
      <c r="A56" s="5">
        <f>MasterSheet!B234</f>
        <v>0</v>
      </c>
      <c r="B56" s="5">
        <f>MasterSheet!C234</f>
        <v>0</v>
      </c>
      <c r="C56" s="5">
        <f>MasterSheet!D234</f>
        <v>0</v>
      </c>
      <c r="D56" s="5">
        <f>MasterSheet!E234</f>
        <v>0</v>
      </c>
      <c r="E56" s="5">
        <f>MasterSheet!G234</f>
        <v>0</v>
      </c>
      <c r="F56" s="5">
        <f>MasterSheet!I234</f>
        <v>0</v>
      </c>
      <c r="G56" s="5">
        <f>MasterSheet!K234</f>
        <v>0</v>
      </c>
      <c r="H56" s="5">
        <f>MasterSheet!M234</f>
        <v>0</v>
      </c>
      <c r="I56" s="5">
        <f>MasterSheet!O234</f>
        <v>0</v>
      </c>
      <c r="J56" s="5">
        <f>MasterSheet!Q234</f>
        <v>0</v>
      </c>
      <c r="K56" s="5">
        <f>MasterSheet!S234</f>
        <v>0</v>
      </c>
      <c r="L56" s="5">
        <f>MasterSheet!U234</f>
        <v>0</v>
      </c>
      <c r="M56" s="5">
        <f>MasterSheet!W234</f>
        <v>0</v>
      </c>
      <c r="N56" s="5">
        <f>MasterSheet!Y234</f>
        <v>0</v>
      </c>
      <c r="O56" s="5">
        <f>MasterSheet!AA234</f>
        <v>0</v>
      </c>
      <c r="P56" s="5">
        <f>MasterSheet!AB234</f>
        <v>0</v>
      </c>
      <c r="Q56" s="5">
        <f>MasterSheet!AC234</f>
        <v>0</v>
      </c>
      <c r="T56" s="5">
        <f>IF(D56&gt;=90,"امتياز",IF(D56&gt;=80,"جـيد جدا",IF(D56&gt;=70,"جـيد",IF(D56&gt;=60,"متوسط",IF(D56&gt;=50,"مقبول","راسب")))))</f>
        <v>0</v>
      </c>
      <c r="U56" s="5">
        <f>IF(E56&gt;=90,"امتياز",IF(E56&gt;=80,"جـيد جدا",IF(E56&gt;=70,"جـيد",IF(E56&gt;=60,"متوسط",IF(E56&gt;=50,"مقبول","راسب")))))</f>
        <v>0</v>
      </c>
      <c r="V56" s="5">
        <f>IF(F56&gt;=90,"امتياز",IF(F56&gt;=80,"جـيد جدا",IF(F56&gt;=70,"جـيد",IF(F56&gt;=60,"متوسط",IF(F56&gt;=50,"مقبول","راسب")))))</f>
        <v>0</v>
      </c>
      <c r="W56" s="5">
        <f>IF(G56&gt;=90,"امتياز",IF(G56&gt;=80,"جـيد جدا",IF(G56&gt;=70,"جـيد",IF(G56&gt;=60,"متوسط",IF(G56&gt;=50,"مقبول","راسب")))))</f>
        <v>0</v>
      </c>
      <c r="X56" s="5">
        <f>IF(H56&gt;=90,"امتياز",IF(H56&gt;=80,"جـيد جدا",IF(H56&gt;=70,"جـيد",IF(H56&gt;=60,"متوسط",IF(H56&gt;=50,"مقبول","راسب")))))</f>
        <v>0</v>
      </c>
      <c r="Y56" s="5">
        <f>IF(I56&gt;=90,"امتياز",IF(I56&gt;=80,"جـيد جدا",IF(I56&gt;=70,"جـيد",IF(I56&gt;=60,"متوسط",IF(I56&gt;=50,"مقبول","راسب")))))</f>
        <v>0</v>
      </c>
      <c r="Z56" s="5">
        <f>IF(J56&gt;=90,"امتياز",IF(J56&gt;=80,"جـيد جدا",IF(J56&gt;=70,"جـيد",IF(J56&gt;=60,"متوسط",IF(J56&gt;=50,"مقبول","راسب")))))</f>
        <v>0</v>
      </c>
      <c r="AA56" s="5">
        <f>IF(K56&gt;=90,"امتياز",IF(K56&gt;=80,"جـيد جدا",IF(K56&gt;=70,"جـيد",IF(K56&gt;=60,"متوسط",IF(K56&gt;=50,"مقبول","راسب")))))</f>
        <v>0</v>
      </c>
      <c r="AB56" s="5">
        <f>IF(L56&gt;=90,"امتياز",IF(L56&gt;=80,"جـيد جدا",IF(L56&gt;=70,"جـيد",IF(L56&gt;=60,"متوسط",IF(L56&gt;=50,"مقبول","راسب")))))</f>
        <v>0</v>
      </c>
      <c r="AC56" s="5">
        <f>IF(M56&gt;=90,"امتياز",IF(M56&gt;=80,"جـيد جدا",IF(M56&gt;=70,"جـيد",IF(M56&gt;=60,"متوسط",IF(M56&gt;=50,"مقبول","راسب")))))</f>
        <v>0</v>
      </c>
      <c r="AD56" s="5">
        <f>IF(N56&gt;=90,"امتياز",IF(N56&gt;=80,"جـيد جدا",IF(N56&gt;=70,"جـيد",IF(N56&gt;=60,"متوسط",IF(N56&gt;=50,"مقبول","راسب")))))</f>
        <v>0</v>
      </c>
      <c r="AE56" s="5">
        <f>MasterSheet!AA234</f>
        <v>0</v>
      </c>
      <c r="AF56" s="5">
        <f>MasterSheet!AB234</f>
        <v>0</v>
      </c>
      <c r="AG56" s="5">
        <f>MasterSheet!AC234</f>
        <v>0</v>
      </c>
      <c r="AL56" s="5">
        <f>IF(D56 &gt;=50,"P","F")</f>
        <v>0</v>
      </c>
      <c r="AM56" s="5">
        <f>IF(E56 &gt;=50,"P","F")</f>
        <v>0</v>
      </c>
      <c r="AN56" s="5">
        <f>IF(F56 &gt;=50,"P","F")</f>
        <v>0</v>
      </c>
      <c r="AO56" s="5">
        <f>IF(G56 &gt;=50,"P","F")</f>
        <v>0</v>
      </c>
      <c r="AP56" s="5">
        <f>IF(H56 &gt;=50,"P","F")</f>
        <v>0</v>
      </c>
      <c r="AQ56" s="5">
        <f>IF(I56 &gt;=50,"P","F")</f>
        <v>0</v>
      </c>
      <c r="AR56" s="5">
        <f>IF(J56 &gt;=50,"P","F")</f>
        <v>0</v>
      </c>
      <c r="AS56" s="5">
        <f>IF(K56 &gt;=50,"P","F")</f>
        <v>0</v>
      </c>
      <c r="AT56" s="5">
        <f>IF(L56 &gt;=50,"P","F")</f>
        <v>0</v>
      </c>
      <c r="AU56" s="5">
        <f>IF(M56 &gt;=50,"P","F")</f>
        <v>0</v>
      </c>
      <c r="AV56" s="5">
        <f>IF(N56 &gt;=50,"P","F")</f>
        <v>0</v>
      </c>
      <c r="AW56" s="5">
        <f>IF(AND(N56&gt;=50,N56&gt;=50,F56&gt;=50,G56&gt;=50,H56&gt;=50,I56&gt;=50,J56&gt;=50,K56&gt;=50,L56&gt;=50,M56&gt;=50),"P","F")</f>
        <v>0</v>
      </c>
    </row>
  </sheetData>
  <conditionalFormatting sqref="M105:Y109">
    <cfRule type="cellIs" dxfId="1" priority="21" operator="lessThan">
      <formula>50</formula>
    </cfRule>
  </conditionalFormatting>
  <conditionalFormatting sqref="M108:Y112">
    <cfRule type="cellIs" dxfId="1" priority="22" operator="lessThan">
      <formula>50</formula>
    </cfRule>
  </conditionalFormatting>
  <conditionalFormatting sqref="M111:Y115">
    <cfRule type="cellIs" dxfId="1" priority="23" operator="lessThan">
      <formula>50</formula>
    </cfRule>
  </conditionalFormatting>
  <conditionalFormatting sqref="M114:Y118">
    <cfRule type="cellIs" dxfId="1" priority="24" operator="lessThan">
      <formula>50</formula>
    </cfRule>
  </conditionalFormatting>
  <conditionalFormatting sqref="M117:Y121">
    <cfRule type="cellIs" dxfId="1" priority="25" operator="lessThan">
      <formula>50</formula>
    </cfRule>
  </conditionalFormatting>
  <conditionalFormatting sqref="M11:Y15">
    <cfRule type="cellIs" dxfId="1" priority="3" operator="lessThan">
      <formula>50</formula>
    </cfRule>
  </conditionalFormatting>
  <conditionalFormatting sqref="M120:Y124">
    <cfRule type="cellIs" dxfId="1" priority="26" operator="lessThan">
      <formula>50</formula>
    </cfRule>
  </conditionalFormatting>
  <conditionalFormatting sqref="M123:Y127">
    <cfRule type="cellIs" dxfId="1" priority="27" operator="lessThan">
      <formula>50</formula>
    </cfRule>
  </conditionalFormatting>
  <conditionalFormatting sqref="M126:Y130">
    <cfRule type="cellIs" dxfId="1" priority="28" operator="lessThan">
      <formula>50</formula>
    </cfRule>
  </conditionalFormatting>
  <conditionalFormatting sqref="M129:Y133">
    <cfRule type="cellIs" dxfId="1" priority="29" operator="lessThan">
      <formula>50</formula>
    </cfRule>
  </conditionalFormatting>
  <conditionalFormatting sqref="M132:Y136">
    <cfRule type="cellIs" dxfId="1" priority="30" operator="lessThan">
      <formula>50</formula>
    </cfRule>
  </conditionalFormatting>
  <conditionalFormatting sqref="M14:Y18">
    <cfRule type="cellIs" dxfId="1" priority="4" operator="lessThan">
      <formula>50</formula>
    </cfRule>
  </conditionalFormatting>
  <conditionalFormatting sqref="M155:Y159">
    <cfRule type="cellIs" dxfId="1" priority="31" operator="lessThan">
      <formula>50</formula>
    </cfRule>
  </conditionalFormatting>
  <conditionalFormatting sqref="M158:Y162">
    <cfRule type="cellIs" dxfId="1" priority="32" operator="lessThan">
      <formula>50</formula>
    </cfRule>
  </conditionalFormatting>
  <conditionalFormatting sqref="M161:Y165">
    <cfRule type="cellIs" dxfId="1" priority="33" operator="lessThan">
      <formula>50</formula>
    </cfRule>
  </conditionalFormatting>
  <conditionalFormatting sqref="M164:Y168">
    <cfRule type="cellIs" dxfId="1" priority="34" operator="lessThan">
      <formula>50</formula>
    </cfRule>
  </conditionalFormatting>
  <conditionalFormatting sqref="M167:Y171">
    <cfRule type="cellIs" dxfId="1" priority="35" operator="lessThan">
      <formula>50</formula>
    </cfRule>
  </conditionalFormatting>
  <conditionalFormatting sqref="M170:Y174">
    <cfRule type="cellIs" dxfId="1" priority="36" operator="lessThan">
      <formula>50</formula>
    </cfRule>
  </conditionalFormatting>
  <conditionalFormatting sqref="M173:Y177">
    <cfRule type="cellIs" dxfId="1" priority="37" operator="lessThan">
      <formula>50</formula>
    </cfRule>
  </conditionalFormatting>
  <conditionalFormatting sqref="M176:Y180">
    <cfRule type="cellIs" dxfId="1" priority="38" operator="lessThan">
      <formula>50</formula>
    </cfRule>
  </conditionalFormatting>
  <conditionalFormatting sqref="M179:Y183">
    <cfRule type="cellIs" dxfId="1" priority="39" operator="lessThan">
      <formula>50</formula>
    </cfRule>
  </conditionalFormatting>
  <conditionalFormatting sqref="M17:Y21">
    <cfRule type="cellIs" dxfId="1" priority="5" operator="lessThan">
      <formula>50</formula>
    </cfRule>
  </conditionalFormatting>
  <conditionalFormatting sqref="M182:Y186">
    <cfRule type="cellIs" dxfId="1" priority="40" operator="lessThan">
      <formula>50</formula>
    </cfRule>
  </conditionalFormatting>
  <conditionalFormatting sqref="M205:Y209">
    <cfRule type="cellIs" dxfId="1" priority="41" operator="lessThan">
      <formula>50</formula>
    </cfRule>
  </conditionalFormatting>
  <conditionalFormatting sqref="M208:Y212">
    <cfRule type="cellIs" dxfId="1" priority="42" operator="lessThan">
      <formula>50</formula>
    </cfRule>
  </conditionalFormatting>
  <conditionalFormatting sqref="M20:Y24">
    <cfRule type="cellIs" dxfId="1" priority="6" operator="lessThan">
      <formula>50</formula>
    </cfRule>
  </conditionalFormatting>
  <conditionalFormatting sqref="M211:Y215">
    <cfRule type="cellIs" dxfId="1" priority="43" operator="lessThan">
      <formula>50</formula>
    </cfRule>
  </conditionalFormatting>
  <conditionalFormatting sqref="M214:Y218">
    <cfRule type="cellIs" dxfId="1" priority="44" operator="lessThan">
      <formula>50</formula>
    </cfRule>
  </conditionalFormatting>
  <conditionalFormatting sqref="M217:Y221">
    <cfRule type="cellIs" dxfId="1" priority="45" operator="lessThan">
      <formula>50</formula>
    </cfRule>
  </conditionalFormatting>
  <conditionalFormatting sqref="M220:Y224">
    <cfRule type="cellIs" dxfId="1" priority="46" operator="lessThan">
      <formula>50</formula>
    </cfRule>
  </conditionalFormatting>
  <conditionalFormatting sqref="M223:Y227">
    <cfRule type="cellIs" dxfId="1" priority="47" operator="lessThan">
      <formula>50</formula>
    </cfRule>
  </conditionalFormatting>
  <conditionalFormatting sqref="M226:Y230">
    <cfRule type="cellIs" dxfId="1" priority="48" operator="lessThan">
      <formula>50</formula>
    </cfRule>
  </conditionalFormatting>
  <conditionalFormatting sqref="M229:Y233">
    <cfRule type="cellIs" dxfId="1" priority="49" operator="lessThan">
      <formula>50</formula>
    </cfRule>
  </conditionalFormatting>
  <conditionalFormatting sqref="M232:Y236">
    <cfRule type="cellIs" dxfId="1" priority="50" operator="lessThan">
      <formula>50</formula>
    </cfRule>
  </conditionalFormatting>
  <conditionalFormatting sqref="M23:Y27">
    <cfRule type="cellIs" dxfId="1" priority="7" operator="lessThan">
      <formula>50</formula>
    </cfRule>
  </conditionalFormatting>
  <conditionalFormatting sqref="M26:Y30">
    <cfRule type="cellIs" dxfId="1" priority="8" operator="lessThan">
      <formula>50</formula>
    </cfRule>
  </conditionalFormatting>
  <conditionalFormatting sqref="M29:Y33">
    <cfRule type="cellIs" dxfId="1" priority="9" operator="lessThan">
      <formula>50</formula>
    </cfRule>
  </conditionalFormatting>
  <conditionalFormatting sqref="M32:Y36">
    <cfRule type="cellIs" dxfId="1" priority="10" operator="lessThan">
      <formula>50</formula>
    </cfRule>
  </conditionalFormatting>
  <conditionalFormatting sqref="M55:Y59">
    <cfRule type="cellIs" dxfId="1" priority="11" operator="lessThan">
      <formula>50</formula>
    </cfRule>
  </conditionalFormatting>
  <conditionalFormatting sqref="M58:Y62">
    <cfRule type="cellIs" dxfId="1" priority="12" operator="lessThan">
      <formula>50</formula>
    </cfRule>
  </conditionalFormatting>
  <conditionalFormatting sqref="M5:Y9">
    <cfRule type="cellIs" dxfId="1" priority="1" operator="lessThan">
      <formula>50</formula>
    </cfRule>
  </conditionalFormatting>
  <conditionalFormatting sqref="M61:Y65">
    <cfRule type="cellIs" dxfId="1" priority="13" operator="lessThan">
      <formula>50</formula>
    </cfRule>
  </conditionalFormatting>
  <conditionalFormatting sqref="M64:Y68">
    <cfRule type="cellIs" dxfId="1" priority="14" operator="lessThan">
      <formula>50</formula>
    </cfRule>
  </conditionalFormatting>
  <conditionalFormatting sqref="M67:Y71">
    <cfRule type="cellIs" dxfId="1" priority="15" operator="lessThan">
      <formula>50</formula>
    </cfRule>
  </conditionalFormatting>
  <conditionalFormatting sqref="M70:Y74">
    <cfRule type="cellIs" dxfId="1" priority="16" operator="lessThan">
      <formula>50</formula>
    </cfRule>
  </conditionalFormatting>
  <conditionalFormatting sqref="M73:Y77">
    <cfRule type="cellIs" dxfId="1" priority="17" operator="lessThan">
      <formula>50</formula>
    </cfRule>
  </conditionalFormatting>
  <conditionalFormatting sqref="M76:Y80">
    <cfRule type="cellIs" dxfId="1" priority="18" operator="lessThan">
      <formula>50</formula>
    </cfRule>
  </conditionalFormatting>
  <conditionalFormatting sqref="M79:Y83">
    <cfRule type="cellIs" dxfId="1" priority="19" operator="lessThan">
      <formula>50</formula>
    </cfRule>
  </conditionalFormatting>
  <conditionalFormatting sqref="M82:Y86">
    <cfRule type="cellIs" dxfId="1" priority="20" operator="lessThan">
      <formula>50</formula>
    </cfRule>
  </conditionalFormatting>
  <conditionalFormatting sqref="M8:Y12">
    <cfRule type="cellIs" dxfId="1" priority="2" operator="lessThan">
      <formula>50</formula>
    </cfRule>
  </conditionalFormatting>
  <pageMargins left="0.7" right="0.7" top="0.75" bottom="0.75" header="0.3" footer="0.3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B8:L1496"/>
  <sheetViews>
    <sheetView rightToLeft="1" workbookViewId="0"/>
  </sheetViews>
  <sheetFormatPr defaultRowHeight="15"/>
  <cols>
    <col min="3" max="3" width="13.7109375" customWidth="1"/>
    <col min="10" max="10" width="13.7109375" customWidth="1"/>
  </cols>
  <sheetData>
    <row r="8" spans="2:11">
      <c r="B8" s="10" t="s">
        <v>64</v>
      </c>
      <c r="C8" s="10">
        <f>Statistics!B7</f>
        <v>0</v>
      </c>
      <c r="D8" s="10"/>
      <c r="I8" s="10" t="s">
        <v>64</v>
      </c>
      <c r="J8" s="10">
        <f>Statistics!B7</f>
        <v>0</v>
      </c>
      <c r="K8" s="10"/>
    </row>
    <row r="9" spans="2:11">
      <c r="B9" s="10" t="s">
        <v>65</v>
      </c>
      <c r="C9" s="10">
        <f>Statistics!A7</f>
        <v>0</v>
      </c>
      <c r="I9" s="10" t="s">
        <v>65</v>
      </c>
      <c r="J9" s="10">
        <f>Statistics!A7</f>
        <v>0</v>
      </c>
    </row>
    <row r="11" spans="2:11">
      <c r="B11" s="5" t="s">
        <v>66</v>
      </c>
      <c r="C11" s="5" t="s">
        <v>67</v>
      </c>
      <c r="I11" s="5" t="s">
        <v>66</v>
      </c>
      <c r="J11" s="5" t="s">
        <v>67</v>
      </c>
    </row>
    <row r="12" spans="2:11">
      <c r="B12" s="5">
        <f>Statistics!D6</f>
        <v>0</v>
      </c>
      <c r="C12" s="5">
        <f>Statistics!T7</f>
        <v>0</v>
      </c>
      <c r="I12" s="5">
        <f>Statistics!D6</f>
        <v>0</v>
      </c>
      <c r="J12" s="5">
        <f>Statistics!T7</f>
        <v>0</v>
      </c>
    </row>
    <row r="13" spans="2:11">
      <c r="B13" s="5">
        <f>Statistics!E6</f>
        <v>0</v>
      </c>
      <c r="C13" s="5">
        <f>Statistics!U7</f>
        <v>0</v>
      </c>
      <c r="I13" s="5">
        <f>Statistics!E6</f>
        <v>0</v>
      </c>
      <c r="J13" s="5">
        <f>Statistics!U7</f>
        <v>0</v>
      </c>
    </row>
    <row r="14" spans="2:11">
      <c r="B14" s="5">
        <f>Statistics!F6</f>
        <v>0</v>
      </c>
      <c r="C14" s="5">
        <f>Statistics!V7</f>
        <v>0</v>
      </c>
      <c r="I14" s="5">
        <f>Statistics!F6</f>
        <v>0</v>
      </c>
      <c r="J14" s="5">
        <f>Statistics!V7</f>
        <v>0</v>
      </c>
    </row>
    <row r="15" spans="2:11">
      <c r="B15" s="5">
        <f>Statistics!G6</f>
        <v>0</v>
      </c>
      <c r="C15" s="5">
        <f>Statistics!W7</f>
        <v>0</v>
      </c>
      <c r="I15" s="5">
        <f>Statistics!G6</f>
        <v>0</v>
      </c>
      <c r="J15" s="5">
        <f>Statistics!W7</f>
        <v>0</v>
      </c>
    </row>
    <row r="16" spans="2:11">
      <c r="B16" s="5">
        <f>Statistics!H6</f>
        <v>0</v>
      </c>
      <c r="C16" s="5">
        <f>Statistics!X7</f>
        <v>0</v>
      </c>
      <c r="I16" s="5">
        <f>Statistics!H6</f>
        <v>0</v>
      </c>
      <c r="J16" s="5">
        <f>Statistics!X7</f>
        <v>0</v>
      </c>
    </row>
    <row r="17" spans="2:12">
      <c r="B17" s="5">
        <f>Statistics!I6</f>
        <v>0</v>
      </c>
      <c r="C17" s="5">
        <f>Statistics!Y7</f>
        <v>0</v>
      </c>
      <c r="I17" s="5">
        <f>Statistics!I6</f>
        <v>0</v>
      </c>
      <c r="J17" s="5">
        <f>Statistics!Y7</f>
        <v>0</v>
      </c>
    </row>
    <row r="18" spans="2:12">
      <c r="B18" s="5">
        <f>Statistics!J6</f>
        <v>0</v>
      </c>
      <c r="C18" s="5">
        <f>Statistics!Z7</f>
        <v>0</v>
      </c>
      <c r="I18" s="5">
        <f>Statistics!J6</f>
        <v>0</v>
      </c>
      <c r="J18" s="5">
        <f>Statistics!Z7</f>
        <v>0</v>
      </c>
    </row>
    <row r="19" spans="2:12">
      <c r="B19" s="5">
        <f>Statistics!K6</f>
        <v>0</v>
      </c>
      <c r="C19" s="5">
        <f>Statistics!AA7</f>
        <v>0</v>
      </c>
      <c r="I19" s="5">
        <f>Statistics!K6</f>
        <v>0</v>
      </c>
      <c r="J19" s="5">
        <f>Statistics!AA7</f>
        <v>0</v>
      </c>
    </row>
    <row r="20" spans="2:12">
      <c r="B20" s="5">
        <f>Statistics!L6</f>
        <v>0</v>
      </c>
      <c r="C20" s="5">
        <f>Statistics!AB7</f>
        <v>0</v>
      </c>
      <c r="I20" s="5">
        <f>Statistics!L6</f>
        <v>0</v>
      </c>
      <c r="J20" s="5">
        <f>Statistics!AB7</f>
        <v>0</v>
      </c>
    </row>
    <row r="21" spans="2:12">
      <c r="B21" s="5">
        <f>Statistics!M6</f>
        <v>0</v>
      </c>
      <c r="C21" s="5">
        <f>Statistics!AC7</f>
        <v>0</v>
      </c>
      <c r="I21" s="5">
        <f>Statistics!M6</f>
        <v>0</v>
      </c>
      <c r="J21" s="5">
        <f>Statistics!AC7</f>
        <v>0</v>
      </c>
    </row>
    <row r="22" spans="2:12">
      <c r="B22" s="5">
        <f>Statistics!N6</f>
        <v>0</v>
      </c>
      <c r="C22" s="5">
        <f>Statistics!AD7</f>
        <v>0</v>
      </c>
      <c r="I22" s="5">
        <f>Statistics!N6</f>
        <v>0</v>
      </c>
      <c r="J22" s="5">
        <f>Statistics!AD7</f>
        <v>0</v>
      </c>
    </row>
    <row r="23" spans="2:12">
      <c r="B23" s="10" t="s">
        <v>68</v>
      </c>
      <c r="C23" s="10">
        <f>Statistics!AE7</f>
        <v>0</v>
      </c>
      <c r="D23" s="10">
        <f>Statistics!AH7</f>
        <v>0</v>
      </c>
      <c r="I23" s="10" t="s">
        <v>68</v>
      </c>
      <c r="J23" s="10">
        <f>Statistics!AE7</f>
        <v>0</v>
      </c>
      <c r="K23" s="10">
        <f>Statistics!AH7</f>
        <v>0</v>
      </c>
    </row>
    <row r="24" spans="2:12">
      <c r="B24" s="10" t="s">
        <v>69</v>
      </c>
      <c r="C24" s="10">
        <f>Statistics!AG7</f>
        <v>0</v>
      </c>
      <c r="I24" s="10" t="s">
        <v>69</v>
      </c>
      <c r="J24" s="10">
        <f>Statistics!AG7</f>
        <v>0</v>
      </c>
    </row>
    <row r="25" spans="2:12">
      <c r="D25" s="10" t="s">
        <v>71</v>
      </c>
      <c r="E25" s="10"/>
      <c r="K25" s="10" t="s">
        <v>71</v>
      </c>
      <c r="L25" s="10"/>
    </row>
    <row r="26" spans="2:12">
      <c r="B26" s="10" t="s">
        <v>70</v>
      </c>
      <c r="C26" s="10"/>
      <c r="D26" s="10" t="s">
        <v>72</v>
      </c>
      <c r="E26" s="10"/>
      <c r="I26" s="10" t="s">
        <v>70</v>
      </c>
      <c r="J26" s="10"/>
      <c r="K26" s="10" t="s">
        <v>72</v>
      </c>
      <c r="L26" s="10"/>
    </row>
    <row r="38" spans="2:11">
      <c r="B38" s="10" t="s">
        <v>64</v>
      </c>
      <c r="C38" s="10">
        <f>Statistics!B8</f>
        <v>0</v>
      </c>
      <c r="D38" s="10"/>
      <c r="I38" s="10" t="s">
        <v>64</v>
      </c>
      <c r="J38" s="10">
        <f>Statistics!B8</f>
        <v>0</v>
      </c>
      <c r="K38" s="10"/>
    </row>
    <row r="39" spans="2:11">
      <c r="B39" s="10" t="s">
        <v>65</v>
      </c>
      <c r="C39" s="10">
        <f>Statistics!A8</f>
        <v>0</v>
      </c>
      <c r="I39" s="10" t="s">
        <v>65</v>
      </c>
      <c r="J39" s="10">
        <f>Statistics!A8</f>
        <v>0</v>
      </c>
    </row>
    <row r="41" spans="2:11">
      <c r="B41" s="5" t="s">
        <v>66</v>
      </c>
      <c r="C41" s="5" t="s">
        <v>67</v>
      </c>
      <c r="I41" s="5" t="s">
        <v>66</v>
      </c>
      <c r="J41" s="5" t="s">
        <v>67</v>
      </c>
    </row>
    <row r="42" spans="2:11">
      <c r="B42" s="5">
        <f>Statistics!D6</f>
        <v>0</v>
      </c>
      <c r="C42" s="5">
        <f>Statistics!T8</f>
        <v>0</v>
      </c>
      <c r="I42" s="5">
        <f>Statistics!D6</f>
        <v>0</v>
      </c>
      <c r="J42" s="5">
        <f>Statistics!T8</f>
        <v>0</v>
      </c>
    </row>
    <row r="43" spans="2:11">
      <c r="B43" s="5">
        <f>Statistics!E6</f>
        <v>0</v>
      </c>
      <c r="C43" s="5">
        <f>Statistics!U8</f>
        <v>0</v>
      </c>
      <c r="I43" s="5">
        <f>Statistics!E6</f>
        <v>0</v>
      </c>
      <c r="J43" s="5">
        <f>Statistics!U8</f>
        <v>0</v>
      </c>
    </row>
    <row r="44" spans="2:11">
      <c r="B44" s="5">
        <f>Statistics!F6</f>
        <v>0</v>
      </c>
      <c r="C44" s="5">
        <f>Statistics!V8</f>
        <v>0</v>
      </c>
      <c r="I44" s="5">
        <f>Statistics!F6</f>
        <v>0</v>
      </c>
      <c r="J44" s="5">
        <f>Statistics!V8</f>
        <v>0</v>
      </c>
    </row>
    <row r="45" spans="2:11">
      <c r="B45" s="5">
        <f>Statistics!G6</f>
        <v>0</v>
      </c>
      <c r="C45" s="5">
        <f>Statistics!W8</f>
        <v>0</v>
      </c>
      <c r="I45" s="5">
        <f>Statistics!G6</f>
        <v>0</v>
      </c>
      <c r="J45" s="5">
        <f>Statistics!W8</f>
        <v>0</v>
      </c>
    </row>
    <row r="46" spans="2:11">
      <c r="B46" s="5">
        <f>Statistics!H6</f>
        <v>0</v>
      </c>
      <c r="C46" s="5">
        <f>Statistics!X8</f>
        <v>0</v>
      </c>
      <c r="I46" s="5">
        <f>Statistics!H6</f>
        <v>0</v>
      </c>
      <c r="J46" s="5">
        <f>Statistics!X8</f>
        <v>0</v>
      </c>
    </row>
    <row r="47" spans="2:11">
      <c r="B47" s="5">
        <f>Statistics!I6</f>
        <v>0</v>
      </c>
      <c r="C47" s="5">
        <f>Statistics!Y8</f>
        <v>0</v>
      </c>
      <c r="I47" s="5">
        <f>Statistics!I6</f>
        <v>0</v>
      </c>
      <c r="J47" s="5">
        <f>Statistics!Y8</f>
        <v>0</v>
      </c>
    </row>
    <row r="48" spans="2:11">
      <c r="B48" s="5">
        <f>Statistics!J6</f>
        <v>0</v>
      </c>
      <c r="C48" s="5">
        <f>Statistics!Z8</f>
        <v>0</v>
      </c>
      <c r="I48" s="5">
        <f>Statistics!J6</f>
        <v>0</v>
      </c>
      <c r="J48" s="5">
        <f>Statistics!Z8</f>
        <v>0</v>
      </c>
    </row>
    <row r="49" spans="2:12">
      <c r="B49" s="5">
        <f>Statistics!K6</f>
        <v>0</v>
      </c>
      <c r="C49" s="5">
        <f>Statistics!AA8</f>
        <v>0</v>
      </c>
      <c r="I49" s="5">
        <f>Statistics!K6</f>
        <v>0</v>
      </c>
      <c r="J49" s="5">
        <f>Statistics!AA8</f>
        <v>0</v>
      </c>
    </row>
    <row r="50" spans="2:12">
      <c r="B50" s="5">
        <f>Statistics!L6</f>
        <v>0</v>
      </c>
      <c r="C50" s="5">
        <f>Statistics!AB8</f>
        <v>0</v>
      </c>
      <c r="I50" s="5">
        <f>Statistics!L6</f>
        <v>0</v>
      </c>
      <c r="J50" s="5">
        <f>Statistics!AB8</f>
        <v>0</v>
      </c>
    </row>
    <row r="51" spans="2:12">
      <c r="B51" s="5">
        <f>Statistics!M6</f>
        <v>0</v>
      </c>
      <c r="C51" s="5">
        <f>Statistics!AC8</f>
        <v>0</v>
      </c>
      <c r="I51" s="5">
        <f>Statistics!M6</f>
        <v>0</v>
      </c>
      <c r="J51" s="5">
        <f>Statistics!AC8</f>
        <v>0</v>
      </c>
    </row>
    <row r="52" spans="2:12">
      <c r="B52" s="5">
        <f>Statistics!N6</f>
        <v>0</v>
      </c>
      <c r="C52" s="5">
        <f>Statistics!AD8</f>
        <v>0</v>
      </c>
      <c r="I52" s="5">
        <f>Statistics!N6</f>
        <v>0</v>
      </c>
      <c r="J52" s="5">
        <f>Statistics!AD8</f>
        <v>0</v>
      </c>
    </row>
    <row r="53" spans="2:12">
      <c r="B53" s="10" t="s">
        <v>68</v>
      </c>
      <c r="C53" s="10">
        <f>Statistics!AE8</f>
        <v>0</v>
      </c>
      <c r="D53" s="10">
        <f>Statistics!AH8</f>
        <v>0</v>
      </c>
      <c r="I53" s="10" t="s">
        <v>68</v>
      </c>
      <c r="J53" s="10">
        <f>Statistics!AE8</f>
        <v>0</v>
      </c>
      <c r="K53" s="10">
        <f>Statistics!AH8</f>
        <v>0</v>
      </c>
    </row>
    <row r="54" spans="2:12">
      <c r="B54" s="10" t="s">
        <v>69</v>
      </c>
      <c r="C54" s="10">
        <f>Statistics!AG8</f>
        <v>0</v>
      </c>
      <c r="I54" s="10" t="s">
        <v>69</v>
      </c>
      <c r="J54" s="10">
        <f>Statistics!AG8</f>
        <v>0</v>
      </c>
    </row>
    <row r="55" spans="2:12">
      <c r="D55" s="10" t="s">
        <v>71</v>
      </c>
      <c r="E55" s="10"/>
      <c r="K55" s="10" t="s">
        <v>71</v>
      </c>
      <c r="L55" s="10"/>
    </row>
    <row r="56" spans="2:12">
      <c r="B56" s="10" t="s">
        <v>70</v>
      </c>
      <c r="C56" s="10"/>
      <c r="D56" s="10" t="s">
        <v>72</v>
      </c>
      <c r="E56" s="10"/>
      <c r="I56" s="10" t="s">
        <v>70</v>
      </c>
      <c r="J56" s="10"/>
      <c r="K56" s="10" t="s">
        <v>72</v>
      </c>
      <c r="L56" s="10"/>
    </row>
    <row r="68" spans="2:11">
      <c r="B68" s="10" t="s">
        <v>64</v>
      </c>
      <c r="C68" s="10">
        <f>Statistics!B9</f>
        <v>0</v>
      </c>
      <c r="D68" s="10"/>
      <c r="I68" s="10" t="s">
        <v>64</v>
      </c>
      <c r="J68" s="10">
        <f>Statistics!B9</f>
        <v>0</v>
      </c>
      <c r="K68" s="10"/>
    </row>
    <row r="69" spans="2:11">
      <c r="B69" s="10" t="s">
        <v>65</v>
      </c>
      <c r="C69" s="10">
        <f>Statistics!A9</f>
        <v>0</v>
      </c>
      <c r="I69" s="10" t="s">
        <v>65</v>
      </c>
      <c r="J69" s="10">
        <f>Statistics!A9</f>
        <v>0</v>
      </c>
    </row>
    <row r="71" spans="2:11">
      <c r="B71" s="5" t="s">
        <v>66</v>
      </c>
      <c r="C71" s="5" t="s">
        <v>67</v>
      </c>
      <c r="I71" s="5" t="s">
        <v>66</v>
      </c>
      <c r="J71" s="5" t="s">
        <v>67</v>
      </c>
    </row>
    <row r="72" spans="2:11">
      <c r="B72" s="5">
        <f>Statistics!D6</f>
        <v>0</v>
      </c>
      <c r="C72" s="5">
        <f>Statistics!T9</f>
        <v>0</v>
      </c>
      <c r="I72" s="5">
        <f>Statistics!D6</f>
        <v>0</v>
      </c>
      <c r="J72" s="5">
        <f>Statistics!T9</f>
        <v>0</v>
      </c>
    </row>
    <row r="73" spans="2:11">
      <c r="B73" s="5">
        <f>Statistics!E6</f>
        <v>0</v>
      </c>
      <c r="C73" s="5">
        <f>Statistics!U9</f>
        <v>0</v>
      </c>
      <c r="I73" s="5">
        <f>Statistics!E6</f>
        <v>0</v>
      </c>
      <c r="J73" s="5">
        <f>Statistics!U9</f>
        <v>0</v>
      </c>
    </row>
    <row r="74" spans="2:11">
      <c r="B74" s="5">
        <f>Statistics!F6</f>
        <v>0</v>
      </c>
      <c r="C74" s="5">
        <f>Statistics!V9</f>
        <v>0</v>
      </c>
      <c r="I74" s="5">
        <f>Statistics!F6</f>
        <v>0</v>
      </c>
      <c r="J74" s="5">
        <f>Statistics!V9</f>
        <v>0</v>
      </c>
    </row>
    <row r="75" spans="2:11">
      <c r="B75" s="5">
        <f>Statistics!G6</f>
        <v>0</v>
      </c>
      <c r="C75" s="5">
        <f>Statistics!W9</f>
        <v>0</v>
      </c>
      <c r="I75" s="5">
        <f>Statistics!G6</f>
        <v>0</v>
      </c>
      <c r="J75" s="5">
        <f>Statistics!W9</f>
        <v>0</v>
      </c>
    </row>
    <row r="76" spans="2:11">
      <c r="B76" s="5">
        <f>Statistics!H6</f>
        <v>0</v>
      </c>
      <c r="C76" s="5">
        <f>Statistics!X9</f>
        <v>0</v>
      </c>
      <c r="I76" s="5">
        <f>Statistics!H6</f>
        <v>0</v>
      </c>
      <c r="J76" s="5">
        <f>Statistics!X9</f>
        <v>0</v>
      </c>
    </row>
    <row r="77" spans="2:11">
      <c r="B77" s="5">
        <f>Statistics!I6</f>
        <v>0</v>
      </c>
      <c r="C77" s="5">
        <f>Statistics!Y9</f>
        <v>0</v>
      </c>
      <c r="I77" s="5">
        <f>Statistics!I6</f>
        <v>0</v>
      </c>
      <c r="J77" s="5">
        <f>Statistics!Y9</f>
        <v>0</v>
      </c>
    </row>
    <row r="78" spans="2:11">
      <c r="B78" s="5">
        <f>Statistics!J6</f>
        <v>0</v>
      </c>
      <c r="C78" s="5">
        <f>Statistics!Z9</f>
        <v>0</v>
      </c>
      <c r="I78" s="5">
        <f>Statistics!J6</f>
        <v>0</v>
      </c>
      <c r="J78" s="5">
        <f>Statistics!Z9</f>
        <v>0</v>
      </c>
    </row>
    <row r="79" spans="2:11">
      <c r="B79" s="5">
        <f>Statistics!K6</f>
        <v>0</v>
      </c>
      <c r="C79" s="5">
        <f>Statistics!AA9</f>
        <v>0</v>
      </c>
      <c r="I79" s="5">
        <f>Statistics!K6</f>
        <v>0</v>
      </c>
      <c r="J79" s="5">
        <f>Statistics!AA9</f>
        <v>0</v>
      </c>
    </row>
    <row r="80" spans="2:11">
      <c r="B80" s="5">
        <f>Statistics!L6</f>
        <v>0</v>
      </c>
      <c r="C80" s="5">
        <f>Statistics!AB9</f>
        <v>0</v>
      </c>
      <c r="I80" s="5">
        <f>Statistics!L6</f>
        <v>0</v>
      </c>
      <c r="J80" s="5">
        <f>Statistics!AB9</f>
        <v>0</v>
      </c>
    </row>
    <row r="81" spans="2:12">
      <c r="B81" s="5">
        <f>Statistics!M6</f>
        <v>0</v>
      </c>
      <c r="C81" s="5">
        <f>Statistics!AC9</f>
        <v>0</v>
      </c>
      <c r="I81" s="5">
        <f>Statistics!M6</f>
        <v>0</v>
      </c>
      <c r="J81" s="5">
        <f>Statistics!AC9</f>
        <v>0</v>
      </c>
    </row>
    <row r="82" spans="2:12">
      <c r="B82" s="5">
        <f>Statistics!N6</f>
        <v>0</v>
      </c>
      <c r="C82" s="5">
        <f>Statistics!AD9</f>
        <v>0</v>
      </c>
      <c r="I82" s="5">
        <f>Statistics!N6</f>
        <v>0</v>
      </c>
      <c r="J82" s="5">
        <f>Statistics!AD9</f>
        <v>0</v>
      </c>
    </row>
    <row r="83" spans="2:12">
      <c r="B83" s="10" t="s">
        <v>68</v>
      </c>
      <c r="C83" s="10">
        <f>Statistics!AE9</f>
        <v>0</v>
      </c>
      <c r="D83" s="10">
        <f>Statistics!AH9</f>
        <v>0</v>
      </c>
      <c r="I83" s="10" t="s">
        <v>68</v>
      </c>
      <c r="J83" s="10">
        <f>Statistics!AE9</f>
        <v>0</v>
      </c>
      <c r="K83" s="10">
        <f>Statistics!AH9</f>
        <v>0</v>
      </c>
    </row>
    <row r="84" spans="2:12">
      <c r="B84" s="10" t="s">
        <v>69</v>
      </c>
      <c r="C84" s="10">
        <f>Statistics!AG9</f>
        <v>0</v>
      </c>
      <c r="I84" s="10" t="s">
        <v>69</v>
      </c>
      <c r="J84" s="10">
        <f>Statistics!AG9</f>
        <v>0</v>
      </c>
    </row>
    <row r="85" spans="2:12">
      <c r="D85" s="10" t="s">
        <v>71</v>
      </c>
      <c r="E85" s="10"/>
      <c r="K85" s="10" t="s">
        <v>71</v>
      </c>
      <c r="L85" s="10"/>
    </row>
    <row r="86" spans="2:12">
      <c r="B86" s="10" t="s">
        <v>70</v>
      </c>
      <c r="C86" s="10"/>
      <c r="D86" s="10" t="s">
        <v>72</v>
      </c>
      <c r="E86" s="10"/>
      <c r="I86" s="10" t="s">
        <v>70</v>
      </c>
      <c r="J86" s="10"/>
      <c r="K86" s="10" t="s">
        <v>72</v>
      </c>
      <c r="L86" s="10"/>
    </row>
    <row r="98" spans="2:11">
      <c r="B98" s="10" t="s">
        <v>64</v>
      </c>
      <c r="C98" s="10">
        <f>Statistics!B10</f>
        <v>0</v>
      </c>
      <c r="D98" s="10"/>
      <c r="I98" s="10" t="s">
        <v>64</v>
      </c>
      <c r="J98" s="10">
        <f>Statistics!B10</f>
        <v>0</v>
      </c>
      <c r="K98" s="10"/>
    </row>
    <row r="99" spans="2:11">
      <c r="B99" s="10" t="s">
        <v>65</v>
      </c>
      <c r="C99" s="10">
        <f>Statistics!A10</f>
        <v>0</v>
      </c>
      <c r="I99" s="10" t="s">
        <v>65</v>
      </c>
      <c r="J99" s="10">
        <f>Statistics!A10</f>
        <v>0</v>
      </c>
    </row>
    <row r="101" spans="2:11">
      <c r="B101" s="5" t="s">
        <v>66</v>
      </c>
      <c r="C101" s="5" t="s">
        <v>67</v>
      </c>
      <c r="I101" s="5" t="s">
        <v>66</v>
      </c>
      <c r="J101" s="5" t="s">
        <v>67</v>
      </c>
    </row>
    <row r="102" spans="2:11">
      <c r="B102" s="5">
        <f>Statistics!D6</f>
        <v>0</v>
      </c>
      <c r="C102" s="5">
        <f>Statistics!T10</f>
        <v>0</v>
      </c>
      <c r="I102" s="5">
        <f>Statistics!D6</f>
        <v>0</v>
      </c>
      <c r="J102" s="5">
        <f>Statistics!T10</f>
        <v>0</v>
      </c>
    </row>
    <row r="103" spans="2:11">
      <c r="B103" s="5">
        <f>Statistics!E6</f>
        <v>0</v>
      </c>
      <c r="C103" s="5">
        <f>Statistics!U10</f>
        <v>0</v>
      </c>
      <c r="I103" s="5">
        <f>Statistics!E6</f>
        <v>0</v>
      </c>
      <c r="J103" s="5">
        <f>Statistics!U10</f>
        <v>0</v>
      </c>
    </row>
    <row r="104" spans="2:11">
      <c r="B104" s="5">
        <f>Statistics!F6</f>
        <v>0</v>
      </c>
      <c r="C104" s="5">
        <f>Statistics!V10</f>
        <v>0</v>
      </c>
      <c r="I104" s="5">
        <f>Statistics!F6</f>
        <v>0</v>
      </c>
      <c r="J104" s="5">
        <f>Statistics!V10</f>
        <v>0</v>
      </c>
    </row>
    <row r="105" spans="2:11">
      <c r="B105" s="5">
        <f>Statistics!G6</f>
        <v>0</v>
      </c>
      <c r="C105" s="5">
        <f>Statistics!W10</f>
        <v>0</v>
      </c>
      <c r="I105" s="5">
        <f>Statistics!G6</f>
        <v>0</v>
      </c>
      <c r="J105" s="5">
        <f>Statistics!W10</f>
        <v>0</v>
      </c>
    </row>
    <row r="106" spans="2:11">
      <c r="B106" s="5">
        <f>Statistics!H6</f>
        <v>0</v>
      </c>
      <c r="C106" s="5">
        <f>Statistics!X10</f>
        <v>0</v>
      </c>
      <c r="I106" s="5">
        <f>Statistics!H6</f>
        <v>0</v>
      </c>
      <c r="J106" s="5">
        <f>Statistics!X10</f>
        <v>0</v>
      </c>
    </row>
    <row r="107" spans="2:11">
      <c r="B107" s="5">
        <f>Statistics!I6</f>
        <v>0</v>
      </c>
      <c r="C107" s="5">
        <f>Statistics!Y10</f>
        <v>0</v>
      </c>
      <c r="I107" s="5">
        <f>Statistics!I6</f>
        <v>0</v>
      </c>
      <c r="J107" s="5">
        <f>Statistics!Y10</f>
        <v>0</v>
      </c>
    </row>
    <row r="108" spans="2:11">
      <c r="B108" s="5">
        <f>Statistics!J6</f>
        <v>0</v>
      </c>
      <c r="C108" s="5">
        <f>Statistics!Z10</f>
        <v>0</v>
      </c>
      <c r="I108" s="5">
        <f>Statistics!J6</f>
        <v>0</v>
      </c>
      <c r="J108" s="5">
        <f>Statistics!Z10</f>
        <v>0</v>
      </c>
    </row>
    <row r="109" spans="2:11">
      <c r="B109" s="5">
        <f>Statistics!K6</f>
        <v>0</v>
      </c>
      <c r="C109" s="5">
        <f>Statistics!AA10</f>
        <v>0</v>
      </c>
      <c r="I109" s="5">
        <f>Statistics!K6</f>
        <v>0</v>
      </c>
      <c r="J109" s="5">
        <f>Statistics!AA10</f>
        <v>0</v>
      </c>
    </row>
    <row r="110" spans="2:11">
      <c r="B110" s="5">
        <f>Statistics!L6</f>
        <v>0</v>
      </c>
      <c r="C110" s="5">
        <f>Statistics!AB10</f>
        <v>0</v>
      </c>
      <c r="I110" s="5">
        <f>Statistics!L6</f>
        <v>0</v>
      </c>
      <c r="J110" s="5">
        <f>Statistics!AB10</f>
        <v>0</v>
      </c>
    </row>
    <row r="111" spans="2:11">
      <c r="B111" s="5">
        <f>Statistics!M6</f>
        <v>0</v>
      </c>
      <c r="C111" s="5">
        <f>Statistics!AC10</f>
        <v>0</v>
      </c>
      <c r="I111" s="5">
        <f>Statistics!M6</f>
        <v>0</v>
      </c>
      <c r="J111" s="5">
        <f>Statistics!AC10</f>
        <v>0</v>
      </c>
    </row>
    <row r="112" spans="2:11">
      <c r="B112" s="5">
        <f>Statistics!N6</f>
        <v>0</v>
      </c>
      <c r="C112" s="5">
        <f>Statistics!AD10</f>
        <v>0</v>
      </c>
      <c r="I112" s="5">
        <f>Statistics!N6</f>
        <v>0</v>
      </c>
      <c r="J112" s="5">
        <f>Statistics!AD10</f>
        <v>0</v>
      </c>
    </row>
    <row r="113" spans="2:12">
      <c r="B113" s="10" t="s">
        <v>68</v>
      </c>
      <c r="C113" s="10">
        <f>Statistics!AE10</f>
        <v>0</v>
      </c>
      <c r="D113" s="10">
        <f>Statistics!AH10</f>
        <v>0</v>
      </c>
      <c r="I113" s="10" t="s">
        <v>68</v>
      </c>
      <c r="J113" s="10">
        <f>Statistics!AE10</f>
        <v>0</v>
      </c>
      <c r="K113" s="10">
        <f>Statistics!AH10</f>
        <v>0</v>
      </c>
    </row>
    <row r="114" spans="2:12">
      <c r="B114" s="10" t="s">
        <v>69</v>
      </c>
      <c r="C114" s="10">
        <f>Statistics!AG10</f>
        <v>0</v>
      </c>
      <c r="I114" s="10" t="s">
        <v>69</v>
      </c>
      <c r="J114" s="10">
        <f>Statistics!AG10</f>
        <v>0</v>
      </c>
    </row>
    <row r="115" spans="2:12">
      <c r="D115" s="10" t="s">
        <v>71</v>
      </c>
      <c r="E115" s="10"/>
      <c r="K115" s="10" t="s">
        <v>71</v>
      </c>
      <c r="L115" s="10"/>
    </row>
    <row r="116" spans="2:12">
      <c r="B116" s="10" t="s">
        <v>70</v>
      </c>
      <c r="C116" s="10"/>
      <c r="D116" s="10" t="s">
        <v>72</v>
      </c>
      <c r="E116" s="10"/>
      <c r="I116" s="10" t="s">
        <v>70</v>
      </c>
      <c r="J116" s="10"/>
      <c r="K116" s="10" t="s">
        <v>72</v>
      </c>
      <c r="L116" s="10"/>
    </row>
    <row r="128" spans="2:12">
      <c r="B128" s="10" t="s">
        <v>64</v>
      </c>
      <c r="C128" s="10">
        <f>Statistics!B11</f>
        <v>0</v>
      </c>
      <c r="D128" s="10"/>
      <c r="I128" s="10" t="s">
        <v>64</v>
      </c>
      <c r="J128" s="10">
        <f>Statistics!B11</f>
        <v>0</v>
      </c>
      <c r="K128" s="10"/>
    </row>
    <row r="129" spans="2:11">
      <c r="B129" s="10" t="s">
        <v>65</v>
      </c>
      <c r="C129" s="10">
        <f>Statistics!A11</f>
        <v>0</v>
      </c>
      <c r="I129" s="10" t="s">
        <v>65</v>
      </c>
      <c r="J129" s="10">
        <f>Statistics!A11</f>
        <v>0</v>
      </c>
    </row>
    <row r="131" spans="2:11">
      <c r="B131" s="5" t="s">
        <v>66</v>
      </c>
      <c r="C131" s="5" t="s">
        <v>67</v>
      </c>
      <c r="I131" s="5" t="s">
        <v>66</v>
      </c>
      <c r="J131" s="5" t="s">
        <v>67</v>
      </c>
    </row>
    <row r="132" spans="2:11">
      <c r="B132" s="5">
        <f>Statistics!D6</f>
        <v>0</v>
      </c>
      <c r="C132" s="5">
        <f>Statistics!T11</f>
        <v>0</v>
      </c>
      <c r="I132" s="5">
        <f>Statistics!D6</f>
        <v>0</v>
      </c>
      <c r="J132" s="5">
        <f>Statistics!T11</f>
        <v>0</v>
      </c>
    </row>
    <row r="133" spans="2:11">
      <c r="B133" s="5">
        <f>Statistics!E6</f>
        <v>0</v>
      </c>
      <c r="C133" s="5">
        <f>Statistics!U11</f>
        <v>0</v>
      </c>
      <c r="I133" s="5">
        <f>Statistics!E6</f>
        <v>0</v>
      </c>
      <c r="J133" s="5">
        <f>Statistics!U11</f>
        <v>0</v>
      </c>
    </row>
    <row r="134" spans="2:11">
      <c r="B134" s="5">
        <f>Statistics!F6</f>
        <v>0</v>
      </c>
      <c r="C134" s="5">
        <f>Statistics!V11</f>
        <v>0</v>
      </c>
      <c r="I134" s="5">
        <f>Statistics!F6</f>
        <v>0</v>
      </c>
      <c r="J134" s="5">
        <f>Statistics!V11</f>
        <v>0</v>
      </c>
    </row>
    <row r="135" spans="2:11">
      <c r="B135" s="5">
        <f>Statistics!G6</f>
        <v>0</v>
      </c>
      <c r="C135" s="5">
        <f>Statistics!W11</f>
        <v>0</v>
      </c>
      <c r="I135" s="5">
        <f>Statistics!G6</f>
        <v>0</v>
      </c>
      <c r="J135" s="5">
        <f>Statistics!W11</f>
        <v>0</v>
      </c>
    </row>
    <row r="136" spans="2:11">
      <c r="B136" s="5">
        <f>Statistics!H6</f>
        <v>0</v>
      </c>
      <c r="C136" s="5">
        <f>Statistics!X11</f>
        <v>0</v>
      </c>
      <c r="I136" s="5">
        <f>Statistics!H6</f>
        <v>0</v>
      </c>
      <c r="J136" s="5">
        <f>Statistics!X11</f>
        <v>0</v>
      </c>
    </row>
    <row r="137" spans="2:11">
      <c r="B137" s="5">
        <f>Statistics!I6</f>
        <v>0</v>
      </c>
      <c r="C137" s="5">
        <f>Statistics!Y11</f>
        <v>0</v>
      </c>
      <c r="I137" s="5">
        <f>Statistics!I6</f>
        <v>0</v>
      </c>
      <c r="J137" s="5">
        <f>Statistics!Y11</f>
        <v>0</v>
      </c>
    </row>
    <row r="138" spans="2:11">
      <c r="B138" s="5">
        <f>Statistics!J6</f>
        <v>0</v>
      </c>
      <c r="C138" s="5">
        <f>Statistics!Z11</f>
        <v>0</v>
      </c>
      <c r="I138" s="5">
        <f>Statistics!J6</f>
        <v>0</v>
      </c>
      <c r="J138" s="5">
        <f>Statistics!Z11</f>
        <v>0</v>
      </c>
    </row>
    <row r="139" spans="2:11">
      <c r="B139" s="5">
        <f>Statistics!K6</f>
        <v>0</v>
      </c>
      <c r="C139" s="5">
        <f>Statistics!AA11</f>
        <v>0</v>
      </c>
      <c r="I139" s="5">
        <f>Statistics!K6</f>
        <v>0</v>
      </c>
      <c r="J139" s="5">
        <f>Statistics!AA11</f>
        <v>0</v>
      </c>
    </row>
    <row r="140" spans="2:11">
      <c r="B140" s="5">
        <f>Statistics!L6</f>
        <v>0</v>
      </c>
      <c r="C140" s="5">
        <f>Statistics!AB11</f>
        <v>0</v>
      </c>
      <c r="I140" s="5">
        <f>Statistics!L6</f>
        <v>0</v>
      </c>
      <c r="J140" s="5">
        <f>Statistics!AB11</f>
        <v>0</v>
      </c>
    </row>
    <row r="141" spans="2:11">
      <c r="B141" s="5">
        <f>Statistics!M6</f>
        <v>0</v>
      </c>
      <c r="C141" s="5">
        <f>Statistics!AC11</f>
        <v>0</v>
      </c>
      <c r="I141" s="5">
        <f>Statistics!M6</f>
        <v>0</v>
      </c>
      <c r="J141" s="5">
        <f>Statistics!AC11</f>
        <v>0</v>
      </c>
    </row>
    <row r="142" spans="2:11">
      <c r="B142" s="5">
        <f>Statistics!N6</f>
        <v>0</v>
      </c>
      <c r="C142" s="5">
        <f>Statistics!AD11</f>
        <v>0</v>
      </c>
      <c r="I142" s="5">
        <f>Statistics!N6</f>
        <v>0</v>
      </c>
      <c r="J142" s="5">
        <f>Statistics!AD11</f>
        <v>0</v>
      </c>
    </row>
    <row r="143" spans="2:11">
      <c r="B143" s="10" t="s">
        <v>68</v>
      </c>
      <c r="C143" s="10">
        <f>Statistics!AE11</f>
        <v>0</v>
      </c>
      <c r="D143" s="10">
        <f>Statistics!AH11</f>
        <v>0</v>
      </c>
      <c r="I143" s="10" t="s">
        <v>68</v>
      </c>
      <c r="J143" s="10">
        <f>Statistics!AE11</f>
        <v>0</v>
      </c>
      <c r="K143" s="10">
        <f>Statistics!AH11</f>
        <v>0</v>
      </c>
    </row>
    <row r="144" spans="2:11">
      <c r="B144" s="10" t="s">
        <v>69</v>
      </c>
      <c r="C144" s="10">
        <f>Statistics!AG11</f>
        <v>0</v>
      </c>
      <c r="I144" s="10" t="s">
        <v>69</v>
      </c>
      <c r="J144" s="10">
        <f>Statistics!AG11</f>
        <v>0</v>
      </c>
    </row>
    <row r="145" spans="2:12">
      <c r="D145" s="10" t="s">
        <v>71</v>
      </c>
      <c r="E145" s="10"/>
      <c r="K145" s="10" t="s">
        <v>71</v>
      </c>
      <c r="L145" s="10"/>
    </row>
    <row r="146" spans="2:12">
      <c r="B146" s="10" t="s">
        <v>70</v>
      </c>
      <c r="C146" s="10"/>
      <c r="D146" s="10" t="s">
        <v>72</v>
      </c>
      <c r="E146" s="10"/>
      <c r="I146" s="10" t="s">
        <v>70</v>
      </c>
      <c r="J146" s="10"/>
      <c r="K146" s="10" t="s">
        <v>72</v>
      </c>
      <c r="L146" s="10"/>
    </row>
    <row r="158" spans="2:12">
      <c r="B158" s="10" t="s">
        <v>64</v>
      </c>
      <c r="C158" s="10">
        <f>Statistics!B12</f>
        <v>0</v>
      </c>
      <c r="D158" s="10"/>
      <c r="I158" s="10" t="s">
        <v>64</v>
      </c>
      <c r="J158" s="10">
        <f>Statistics!B12</f>
        <v>0</v>
      </c>
      <c r="K158" s="10"/>
    </row>
    <row r="159" spans="2:12">
      <c r="B159" s="10" t="s">
        <v>65</v>
      </c>
      <c r="C159" s="10">
        <f>Statistics!A12</f>
        <v>0</v>
      </c>
      <c r="I159" s="10" t="s">
        <v>65</v>
      </c>
      <c r="J159" s="10">
        <f>Statistics!A12</f>
        <v>0</v>
      </c>
    </row>
    <row r="161" spans="2:12">
      <c r="B161" s="5" t="s">
        <v>66</v>
      </c>
      <c r="C161" s="5" t="s">
        <v>67</v>
      </c>
      <c r="I161" s="5" t="s">
        <v>66</v>
      </c>
      <c r="J161" s="5" t="s">
        <v>67</v>
      </c>
    </row>
    <row r="162" spans="2:12">
      <c r="B162" s="5">
        <f>Statistics!D6</f>
        <v>0</v>
      </c>
      <c r="C162" s="5">
        <f>Statistics!T12</f>
        <v>0</v>
      </c>
      <c r="I162" s="5">
        <f>Statistics!D6</f>
        <v>0</v>
      </c>
      <c r="J162" s="5">
        <f>Statistics!T12</f>
        <v>0</v>
      </c>
    </row>
    <row r="163" spans="2:12">
      <c r="B163" s="5">
        <f>Statistics!E6</f>
        <v>0</v>
      </c>
      <c r="C163" s="5">
        <f>Statistics!U12</f>
        <v>0</v>
      </c>
      <c r="I163" s="5">
        <f>Statistics!E6</f>
        <v>0</v>
      </c>
      <c r="J163" s="5">
        <f>Statistics!U12</f>
        <v>0</v>
      </c>
    </row>
    <row r="164" spans="2:12">
      <c r="B164" s="5">
        <f>Statistics!F6</f>
        <v>0</v>
      </c>
      <c r="C164" s="5">
        <f>Statistics!V12</f>
        <v>0</v>
      </c>
      <c r="I164" s="5">
        <f>Statistics!F6</f>
        <v>0</v>
      </c>
      <c r="J164" s="5">
        <f>Statistics!V12</f>
        <v>0</v>
      </c>
    </row>
    <row r="165" spans="2:12">
      <c r="B165" s="5">
        <f>Statistics!G6</f>
        <v>0</v>
      </c>
      <c r="C165" s="5">
        <f>Statistics!W12</f>
        <v>0</v>
      </c>
      <c r="I165" s="5">
        <f>Statistics!G6</f>
        <v>0</v>
      </c>
      <c r="J165" s="5">
        <f>Statistics!W12</f>
        <v>0</v>
      </c>
    </row>
    <row r="166" spans="2:12">
      <c r="B166" s="5">
        <f>Statistics!H6</f>
        <v>0</v>
      </c>
      <c r="C166" s="5">
        <f>Statistics!X12</f>
        <v>0</v>
      </c>
      <c r="I166" s="5">
        <f>Statistics!H6</f>
        <v>0</v>
      </c>
      <c r="J166" s="5">
        <f>Statistics!X12</f>
        <v>0</v>
      </c>
    </row>
    <row r="167" spans="2:12">
      <c r="B167" s="5">
        <f>Statistics!I6</f>
        <v>0</v>
      </c>
      <c r="C167" s="5">
        <f>Statistics!Y12</f>
        <v>0</v>
      </c>
      <c r="I167" s="5">
        <f>Statistics!I6</f>
        <v>0</v>
      </c>
      <c r="J167" s="5">
        <f>Statistics!Y12</f>
        <v>0</v>
      </c>
    </row>
    <row r="168" spans="2:12">
      <c r="B168" s="5">
        <f>Statistics!J6</f>
        <v>0</v>
      </c>
      <c r="C168" s="5">
        <f>Statistics!Z12</f>
        <v>0</v>
      </c>
      <c r="I168" s="5">
        <f>Statistics!J6</f>
        <v>0</v>
      </c>
      <c r="J168" s="5">
        <f>Statistics!Z12</f>
        <v>0</v>
      </c>
    </row>
    <row r="169" spans="2:12">
      <c r="B169" s="5">
        <f>Statistics!K6</f>
        <v>0</v>
      </c>
      <c r="C169" s="5">
        <f>Statistics!AA12</f>
        <v>0</v>
      </c>
      <c r="I169" s="5">
        <f>Statistics!K6</f>
        <v>0</v>
      </c>
      <c r="J169" s="5">
        <f>Statistics!AA12</f>
        <v>0</v>
      </c>
    </row>
    <row r="170" spans="2:12">
      <c r="B170" s="5">
        <f>Statistics!L6</f>
        <v>0</v>
      </c>
      <c r="C170" s="5">
        <f>Statistics!AB12</f>
        <v>0</v>
      </c>
      <c r="I170" s="5">
        <f>Statistics!L6</f>
        <v>0</v>
      </c>
      <c r="J170" s="5">
        <f>Statistics!AB12</f>
        <v>0</v>
      </c>
    </row>
    <row r="171" spans="2:12">
      <c r="B171" s="5">
        <f>Statistics!M6</f>
        <v>0</v>
      </c>
      <c r="C171" s="5">
        <f>Statistics!AC12</f>
        <v>0</v>
      </c>
      <c r="I171" s="5">
        <f>Statistics!M6</f>
        <v>0</v>
      </c>
      <c r="J171" s="5">
        <f>Statistics!AC12</f>
        <v>0</v>
      </c>
    </row>
    <row r="172" spans="2:12">
      <c r="B172" s="5">
        <f>Statistics!N6</f>
        <v>0</v>
      </c>
      <c r="C172" s="5">
        <f>Statistics!AD12</f>
        <v>0</v>
      </c>
      <c r="I172" s="5">
        <f>Statistics!N6</f>
        <v>0</v>
      </c>
      <c r="J172" s="5">
        <f>Statistics!AD12</f>
        <v>0</v>
      </c>
    </row>
    <row r="173" spans="2:12">
      <c r="B173" s="10" t="s">
        <v>68</v>
      </c>
      <c r="C173" s="10">
        <f>Statistics!AE12</f>
        <v>0</v>
      </c>
      <c r="D173" s="10">
        <f>Statistics!AH12</f>
        <v>0</v>
      </c>
      <c r="I173" s="10" t="s">
        <v>68</v>
      </c>
      <c r="J173" s="10">
        <f>Statistics!AE12</f>
        <v>0</v>
      </c>
      <c r="K173" s="10">
        <f>Statistics!AH12</f>
        <v>0</v>
      </c>
    </row>
    <row r="174" spans="2:12">
      <c r="B174" s="10" t="s">
        <v>69</v>
      </c>
      <c r="C174" s="10">
        <f>Statistics!AG12</f>
        <v>0</v>
      </c>
      <c r="I174" s="10" t="s">
        <v>69</v>
      </c>
      <c r="J174" s="10">
        <f>Statistics!AG12</f>
        <v>0</v>
      </c>
    </row>
    <row r="175" spans="2:12">
      <c r="D175" s="10" t="s">
        <v>71</v>
      </c>
      <c r="E175" s="10"/>
      <c r="K175" s="10" t="s">
        <v>71</v>
      </c>
      <c r="L175" s="10"/>
    </row>
    <row r="176" spans="2:12">
      <c r="B176" s="10" t="s">
        <v>70</v>
      </c>
      <c r="C176" s="10"/>
      <c r="D176" s="10" t="s">
        <v>72</v>
      </c>
      <c r="E176" s="10"/>
      <c r="I176" s="10" t="s">
        <v>70</v>
      </c>
      <c r="J176" s="10"/>
      <c r="K176" s="10" t="s">
        <v>72</v>
      </c>
      <c r="L176" s="10"/>
    </row>
    <row r="188" spans="2:11">
      <c r="B188" s="10" t="s">
        <v>64</v>
      </c>
      <c r="C188" s="10">
        <f>Statistics!B13</f>
        <v>0</v>
      </c>
      <c r="D188" s="10"/>
      <c r="I188" s="10" t="s">
        <v>64</v>
      </c>
      <c r="J188" s="10">
        <f>Statistics!B13</f>
        <v>0</v>
      </c>
      <c r="K188" s="10"/>
    </row>
    <row r="189" spans="2:11">
      <c r="B189" s="10" t="s">
        <v>65</v>
      </c>
      <c r="C189" s="10">
        <f>Statistics!A13</f>
        <v>0</v>
      </c>
      <c r="I189" s="10" t="s">
        <v>65</v>
      </c>
      <c r="J189" s="10">
        <f>Statistics!A13</f>
        <v>0</v>
      </c>
    </row>
    <row r="191" spans="2:11">
      <c r="B191" s="5" t="s">
        <v>66</v>
      </c>
      <c r="C191" s="5" t="s">
        <v>67</v>
      </c>
      <c r="I191" s="5" t="s">
        <v>66</v>
      </c>
      <c r="J191" s="5" t="s">
        <v>67</v>
      </c>
    </row>
    <row r="192" spans="2:11">
      <c r="B192" s="5">
        <f>Statistics!D6</f>
        <v>0</v>
      </c>
      <c r="C192" s="5">
        <f>Statistics!T13</f>
        <v>0</v>
      </c>
      <c r="I192" s="5">
        <f>Statistics!D6</f>
        <v>0</v>
      </c>
      <c r="J192" s="5">
        <f>Statistics!T13</f>
        <v>0</v>
      </c>
    </row>
    <row r="193" spans="2:12">
      <c r="B193" s="5">
        <f>Statistics!E6</f>
        <v>0</v>
      </c>
      <c r="C193" s="5">
        <f>Statistics!U13</f>
        <v>0</v>
      </c>
      <c r="I193" s="5">
        <f>Statistics!E6</f>
        <v>0</v>
      </c>
      <c r="J193" s="5">
        <f>Statistics!U13</f>
        <v>0</v>
      </c>
    </row>
    <row r="194" spans="2:12">
      <c r="B194" s="5">
        <f>Statistics!F6</f>
        <v>0</v>
      </c>
      <c r="C194" s="5">
        <f>Statistics!V13</f>
        <v>0</v>
      </c>
      <c r="I194" s="5">
        <f>Statistics!F6</f>
        <v>0</v>
      </c>
      <c r="J194" s="5">
        <f>Statistics!V13</f>
        <v>0</v>
      </c>
    </row>
    <row r="195" spans="2:12">
      <c r="B195" s="5">
        <f>Statistics!G6</f>
        <v>0</v>
      </c>
      <c r="C195" s="5">
        <f>Statistics!W13</f>
        <v>0</v>
      </c>
      <c r="I195" s="5">
        <f>Statistics!G6</f>
        <v>0</v>
      </c>
      <c r="J195" s="5">
        <f>Statistics!W13</f>
        <v>0</v>
      </c>
    </row>
    <row r="196" spans="2:12">
      <c r="B196" s="5">
        <f>Statistics!H6</f>
        <v>0</v>
      </c>
      <c r="C196" s="5">
        <f>Statistics!X13</f>
        <v>0</v>
      </c>
      <c r="I196" s="5">
        <f>Statistics!H6</f>
        <v>0</v>
      </c>
      <c r="J196" s="5">
        <f>Statistics!X13</f>
        <v>0</v>
      </c>
    </row>
    <row r="197" spans="2:12">
      <c r="B197" s="5">
        <f>Statistics!I6</f>
        <v>0</v>
      </c>
      <c r="C197" s="5">
        <f>Statistics!Y13</f>
        <v>0</v>
      </c>
      <c r="I197" s="5">
        <f>Statistics!I6</f>
        <v>0</v>
      </c>
      <c r="J197" s="5">
        <f>Statistics!Y13</f>
        <v>0</v>
      </c>
    </row>
    <row r="198" spans="2:12">
      <c r="B198" s="5">
        <f>Statistics!J6</f>
        <v>0</v>
      </c>
      <c r="C198" s="5">
        <f>Statistics!Z13</f>
        <v>0</v>
      </c>
      <c r="I198" s="5">
        <f>Statistics!J6</f>
        <v>0</v>
      </c>
      <c r="J198" s="5">
        <f>Statistics!Z13</f>
        <v>0</v>
      </c>
    </row>
    <row r="199" spans="2:12">
      <c r="B199" s="5">
        <f>Statistics!K6</f>
        <v>0</v>
      </c>
      <c r="C199" s="5">
        <f>Statistics!AA13</f>
        <v>0</v>
      </c>
      <c r="I199" s="5">
        <f>Statistics!K6</f>
        <v>0</v>
      </c>
      <c r="J199" s="5">
        <f>Statistics!AA13</f>
        <v>0</v>
      </c>
    </row>
    <row r="200" spans="2:12">
      <c r="B200" s="5">
        <f>Statistics!L6</f>
        <v>0</v>
      </c>
      <c r="C200" s="5">
        <f>Statistics!AB13</f>
        <v>0</v>
      </c>
      <c r="I200" s="5">
        <f>Statistics!L6</f>
        <v>0</v>
      </c>
      <c r="J200" s="5">
        <f>Statistics!AB13</f>
        <v>0</v>
      </c>
    </row>
    <row r="201" spans="2:12">
      <c r="B201" s="5">
        <f>Statistics!M6</f>
        <v>0</v>
      </c>
      <c r="C201" s="5">
        <f>Statistics!AC13</f>
        <v>0</v>
      </c>
      <c r="I201" s="5">
        <f>Statistics!M6</f>
        <v>0</v>
      </c>
      <c r="J201" s="5">
        <f>Statistics!AC13</f>
        <v>0</v>
      </c>
    </row>
    <row r="202" spans="2:12">
      <c r="B202" s="5">
        <f>Statistics!N6</f>
        <v>0</v>
      </c>
      <c r="C202" s="5">
        <f>Statistics!AD13</f>
        <v>0</v>
      </c>
      <c r="I202" s="5">
        <f>Statistics!N6</f>
        <v>0</v>
      </c>
      <c r="J202" s="5">
        <f>Statistics!AD13</f>
        <v>0</v>
      </c>
    </row>
    <row r="203" spans="2:12">
      <c r="B203" s="10" t="s">
        <v>68</v>
      </c>
      <c r="C203" s="10">
        <f>Statistics!AE13</f>
        <v>0</v>
      </c>
      <c r="D203" s="10">
        <f>Statistics!AH13</f>
        <v>0</v>
      </c>
      <c r="I203" s="10" t="s">
        <v>68</v>
      </c>
      <c r="J203" s="10">
        <f>Statistics!AE13</f>
        <v>0</v>
      </c>
      <c r="K203" s="10">
        <f>Statistics!AH13</f>
        <v>0</v>
      </c>
    </row>
    <row r="204" spans="2:12">
      <c r="B204" s="10" t="s">
        <v>69</v>
      </c>
      <c r="C204" s="10">
        <f>Statistics!AG13</f>
        <v>0</v>
      </c>
      <c r="I204" s="10" t="s">
        <v>69</v>
      </c>
      <c r="J204" s="10">
        <f>Statistics!AG13</f>
        <v>0</v>
      </c>
    </row>
    <row r="205" spans="2:12">
      <c r="D205" s="10" t="s">
        <v>71</v>
      </c>
      <c r="E205" s="10"/>
      <c r="K205" s="10" t="s">
        <v>71</v>
      </c>
      <c r="L205" s="10"/>
    </row>
    <row r="206" spans="2:12">
      <c r="B206" s="10" t="s">
        <v>70</v>
      </c>
      <c r="C206" s="10"/>
      <c r="D206" s="10" t="s">
        <v>72</v>
      </c>
      <c r="E206" s="10"/>
      <c r="I206" s="10" t="s">
        <v>70</v>
      </c>
      <c r="J206" s="10"/>
      <c r="K206" s="10" t="s">
        <v>72</v>
      </c>
      <c r="L206" s="10"/>
    </row>
    <row r="218" spans="2:11">
      <c r="B218" s="10" t="s">
        <v>64</v>
      </c>
      <c r="C218" s="10">
        <f>Statistics!B14</f>
        <v>0</v>
      </c>
      <c r="D218" s="10"/>
      <c r="I218" s="10" t="s">
        <v>64</v>
      </c>
      <c r="J218" s="10">
        <f>Statistics!B14</f>
        <v>0</v>
      </c>
      <c r="K218" s="10"/>
    </row>
    <row r="219" spans="2:11">
      <c r="B219" s="10" t="s">
        <v>65</v>
      </c>
      <c r="C219" s="10">
        <f>Statistics!A14</f>
        <v>0</v>
      </c>
      <c r="I219" s="10" t="s">
        <v>65</v>
      </c>
      <c r="J219" s="10">
        <f>Statistics!A14</f>
        <v>0</v>
      </c>
    </row>
    <row r="221" spans="2:11">
      <c r="B221" s="5" t="s">
        <v>66</v>
      </c>
      <c r="C221" s="5" t="s">
        <v>67</v>
      </c>
      <c r="I221" s="5" t="s">
        <v>66</v>
      </c>
      <c r="J221" s="5" t="s">
        <v>67</v>
      </c>
    </row>
    <row r="222" spans="2:11">
      <c r="B222" s="5">
        <f>Statistics!D6</f>
        <v>0</v>
      </c>
      <c r="C222" s="5">
        <f>Statistics!T14</f>
        <v>0</v>
      </c>
      <c r="I222" s="5">
        <f>Statistics!D6</f>
        <v>0</v>
      </c>
      <c r="J222" s="5">
        <f>Statistics!T14</f>
        <v>0</v>
      </c>
    </row>
    <row r="223" spans="2:11">
      <c r="B223" s="5">
        <f>Statistics!E6</f>
        <v>0</v>
      </c>
      <c r="C223" s="5">
        <f>Statistics!U14</f>
        <v>0</v>
      </c>
      <c r="I223" s="5">
        <f>Statistics!E6</f>
        <v>0</v>
      </c>
      <c r="J223" s="5">
        <f>Statistics!U14</f>
        <v>0</v>
      </c>
    </row>
    <row r="224" spans="2:11">
      <c r="B224" s="5">
        <f>Statistics!F6</f>
        <v>0</v>
      </c>
      <c r="C224" s="5">
        <f>Statistics!V14</f>
        <v>0</v>
      </c>
      <c r="I224" s="5">
        <f>Statistics!F6</f>
        <v>0</v>
      </c>
      <c r="J224" s="5">
        <f>Statistics!V14</f>
        <v>0</v>
      </c>
    </row>
    <row r="225" spans="2:12">
      <c r="B225" s="5">
        <f>Statistics!G6</f>
        <v>0</v>
      </c>
      <c r="C225" s="5">
        <f>Statistics!W14</f>
        <v>0</v>
      </c>
      <c r="I225" s="5">
        <f>Statistics!G6</f>
        <v>0</v>
      </c>
      <c r="J225" s="5">
        <f>Statistics!W14</f>
        <v>0</v>
      </c>
    </row>
    <row r="226" spans="2:12">
      <c r="B226" s="5">
        <f>Statistics!H6</f>
        <v>0</v>
      </c>
      <c r="C226" s="5">
        <f>Statistics!X14</f>
        <v>0</v>
      </c>
      <c r="I226" s="5">
        <f>Statistics!H6</f>
        <v>0</v>
      </c>
      <c r="J226" s="5">
        <f>Statistics!X14</f>
        <v>0</v>
      </c>
    </row>
    <row r="227" spans="2:12">
      <c r="B227" s="5">
        <f>Statistics!I6</f>
        <v>0</v>
      </c>
      <c r="C227" s="5">
        <f>Statistics!Y14</f>
        <v>0</v>
      </c>
      <c r="I227" s="5">
        <f>Statistics!I6</f>
        <v>0</v>
      </c>
      <c r="J227" s="5">
        <f>Statistics!Y14</f>
        <v>0</v>
      </c>
    </row>
    <row r="228" spans="2:12">
      <c r="B228" s="5">
        <f>Statistics!J6</f>
        <v>0</v>
      </c>
      <c r="C228" s="5">
        <f>Statistics!Z14</f>
        <v>0</v>
      </c>
      <c r="I228" s="5">
        <f>Statistics!J6</f>
        <v>0</v>
      </c>
      <c r="J228" s="5">
        <f>Statistics!Z14</f>
        <v>0</v>
      </c>
    </row>
    <row r="229" spans="2:12">
      <c r="B229" s="5">
        <f>Statistics!K6</f>
        <v>0</v>
      </c>
      <c r="C229" s="5">
        <f>Statistics!AA14</f>
        <v>0</v>
      </c>
      <c r="I229" s="5">
        <f>Statistics!K6</f>
        <v>0</v>
      </c>
      <c r="J229" s="5">
        <f>Statistics!AA14</f>
        <v>0</v>
      </c>
    </row>
    <row r="230" spans="2:12">
      <c r="B230" s="5">
        <f>Statistics!L6</f>
        <v>0</v>
      </c>
      <c r="C230" s="5">
        <f>Statistics!AB14</f>
        <v>0</v>
      </c>
      <c r="I230" s="5">
        <f>Statistics!L6</f>
        <v>0</v>
      </c>
      <c r="J230" s="5">
        <f>Statistics!AB14</f>
        <v>0</v>
      </c>
    </row>
    <row r="231" spans="2:12">
      <c r="B231" s="5">
        <f>Statistics!M6</f>
        <v>0</v>
      </c>
      <c r="C231" s="5">
        <f>Statistics!AC14</f>
        <v>0</v>
      </c>
      <c r="I231" s="5">
        <f>Statistics!M6</f>
        <v>0</v>
      </c>
      <c r="J231" s="5">
        <f>Statistics!AC14</f>
        <v>0</v>
      </c>
    </row>
    <row r="232" spans="2:12">
      <c r="B232" s="5">
        <f>Statistics!N6</f>
        <v>0</v>
      </c>
      <c r="C232" s="5">
        <f>Statistics!AD14</f>
        <v>0</v>
      </c>
      <c r="I232" s="5">
        <f>Statistics!N6</f>
        <v>0</v>
      </c>
      <c r="J232" s="5">
        <f>Statistics!AD14</f>
        <v>0</v>
      </c>
    </row>
    <row r="233" spans="2:12">
      <c r="B233" s="10" t="s">
        <v>68</v>
      </c>
      <c r="C233" s="10">
        <f>Statistics!AE14</f>
        <v>0</v>
      </c>
      <c r="D233" s="10">
        <f>Statistics!AH14</f>
        <v>0</v>
      </c>
      <c r="I233" s="10" t="s">
        <v>68</v>
      </c>
      <c r="J233" s="10">
        <f>Statistics!AE14</f>
        <v>0</v>
      </c>
      <c r="K233" s="10">
        <f>Statistics!AH14</f>
        <v>0</v>
      </c>
    </row>
    <row r="234" spans="2:12">
      <c r="B234" s="10" t="s">
        <v>69</v>
      </c>
      <c r="C234" s="10">
        <f>Statistics!AG14</f>
        <v>0</v>
      </c>
      <c r="I234" s="10" t="s">
        <v>69</v>
      </c>
      <c r="J234" s="10">
        <f>Statistics!AG14</f>
        <v>0</v>
      </c>
    </row>
    <row r="235" spans="2:12">
      <c r="D235" s="10" t="s">
        <v>71</v>
      </c>
      <c r="E235" s="10"/>
      <c r="K235" s="10" t="s">
        <v>71</v>
      </c>
      <c r="L235" s="10"/>
    </row>
    <row r="236" spans="2:12">
      <c r="B236" s="10" t="s">
        <v>70</v>
      </c>
      <c r="C236" s="10"/>
      <c r="D236" s="10" t="s">
        <v>72</v>
      </c>
      <c r="E236" s="10"/>
      <c r="I236" s="10" t="s">
        <v>70</v>
      </c>
      <c r="J236" s="10"/>
      <c r="K236" s="10" t="s">
        <v>72</v>
      </c>
      <c r="L236" s="10"/>
    </row>
    <row r="248" spans="2:11">
      <c r="B248" s="10" t="s">
        <v>64</v>
      </c>
      <c r="C248" s="10">
        <f>Statistics!B15</f>
        <v>0</v>
      </c>
      <c r="D248" s="10"/>
      <c r="I248" s="10" t="s">
        <v>64</v>
      </c>
      <c r="J248" s="10">
        <f>Statistics!B15</f>
        <v>0</v>
      </c>
      <c r="K248" s="10"/>
    </row>
    <row r="249" spans="2:11">
      <c r="B249" s="10" t="s">
        <v>65</v>
      </c>
      <c r="C249" s="10">
        <f>Statistics!A15</f>
        <v>0</v>
      </c>
      <c r="I249" s="10" t="s">
        <v>65</v>
      </c>
      <c r="J249" s="10">
        <f>Statistics!A15</f>
        <v>0</v>
      </c>
    </row>
    <row r="251" spans="2:11">
      <c r="B251" s="5" t="s">
        <v>66</v>
      </c>
      <c r="C251" s="5" t="s">
        <v>67</v>
      </c>
      <c r="I251" s="5" t="s">
        <v>66</v>
      </c>
      <c r="J251" s="5" t="s">
        <v>67</v>
      </c>
    </row>
    <row r="252" spans="2:11">
      <c r="B252" s="5">
        <f>Statistics!D6</f>
        <v>0</v>
      </c>
      <c r="C252" s="5">
        <f>Statistics!T15</f>
        <v>0</v>
      </c>
      <c r="I252" s="5">
        <f>Statistics!D6</f>
        <v>0</v>
      </c>
      <c r="J252" s="5">
        <f>Statistics!T15</f>
        <v>0</v>
      </c>
    </row>
    <row r="253" spans="2:11">
      <c r="B253" s="5">
        <f>Statistics!E6</f>
        <v>0</v>
      </c>
      <c r="C253" s="5">
        <f>Statistics!U15</f>
        <v>0</v>
      </c>
      <c r="I253" s="5">
        <f>Statistics!E6</f>
        <v>0</v>
      </c>
      <c r="J253" s="5">
        <f>Statistics!U15</f>
        <v>0</v>
      </c>
    </row>
    <row r="254" spans="2:11">
      <c r="B254" s="5">
        <f>Statistics!F6</f>
        <v>0</v>
      </c>
      <c r="C254" s="5">
        <f>Statistics!V15</f>
        <v>0</v>
      </c>
      <c r="I254" s="5">
        <f>Statistics!F6</f>
        <v>0</v>
      </c>
      <c r="J254" s="5">
        <f>Statistics!V15</f>
        <v>0</v>
      </c>
    </row>
    <row r="255" spans="2:11">
      <c r="B255" s="5">
        <f>Statistics!G6</f>
        <v>0</v>
      </c>
      <c r="C255" s="5">
        <f>Statistics!W15</f>
        <v>0</v>
      </c>
      <c r="I255" s="5">
        <f>Statistics!G6</f>
        <v>0</v>
      </c>
      <c r="J255" s="5">
        <f>Statistics!W15</f>
        <v>0</v>
      </c>
    </row>
    <row r="256" spans="2:11">
      <c r="B256" s="5">
        <f>Statistics!H6</f>
        <v>0</v>
      </c>
      <c r="C256" s="5">
        <f>Statistics!X15</f>
        <v>0</v>
      </c>
      <c r="I256" s="5">
        <f>Statistics!H6</f>
        <v>0</v>
      </c>
      <c r="J256" s="5">
        <f>Statistics!X15</f>
        <v>0</v>
      </c>
    </row>
    <row r="257" spans="2:12">
      <c r="B257" s="5">
        <f>Statistics!I6</f>
        <v>0</v>
      </c>
      <c r="C257" s="5">
        <f>Statistics!Y15</f>
        <v>0</v>
      </c>
      <c r="I257" s="5">
        <f>Statistics!I6</f>
        <v>0</v>
      </c>
      <c r="J257" s="5">
        <f>Statistics!Y15</f>
        <v>0</v>
      </c>
    </row>
    <row r="258" spans="2:12">
      <c r="B258" s="5">
        <f>Statistics!J6</f>
        <v>0</v>
      </c>
      <c r="C258" s="5">
        <f>Statistics!Z15</f>
        <v>0</v>
      </c>
      <c r="I258" s="5">
        <f>Statistics!J6</f>
        <v>0</v>
      </c>
      <c r="J258" s="5">
        <f>Statistics!Z15</f>
        <v>0</v>
      </c>
    </row>
    <row r="259" spans="2:12">
      <c r="B259" s="5">
        <f>Statistics!K6</f>
        <v>0</v>
      </c>
      <c r="C259" s="5">
        <f>Statistics!AA15</f>
        <v>0</v>
      </c>
      <c r="I259" s="5">
        <f>Statistics!K6</f>
        <v>0</v>
      </c>
      <c r="J259" s="5">
        <f>Statistics!AA15</f>
        <v>0</v>
      </c>
    </row>
    <row r="260" spans="2:12">
      <c r="B260" s="5">
        <f>Statistics!L6</f>
        <v>0</v>
      </c>
      <c r="C260" s="5">
        <f>Statistics!AB15</f>
        <v>0</v>
      </c>
      <c r="I260" s="5">
        <f>Statistics!L6</f>
        <v>0</v>
      </c>
      <c r="J260" s="5">
        <f>Statistics!AB15</f>
        <v>0</v>
      </c>
    </row>
    <row r="261" spans="2:12">
      <c r="B261" s="5">
        <f>Statistics!M6</f>
        <v>0</v>
      </c>
      <c r="C261" s="5">
        <f>Statistics!AC15</f>
        <v>0</v>
      </c>
      <c r="I261" s="5">
        <f>Statistics!M6</f>
        <v>0</v>
      </c>
      <c r="J261" s="5">
        <f>Statistics!AC15</f>
        <v>0</v>
      </c>
    </row>
    <row r="262" spans="2:12">
      <c r="B262" s="5">
        <f>Statistics!N6</f>
        <v>0</v>
      </c>
      <c r="C262" s="5">
        <f>Statistics!AD15</f>
        <v>0</v>
      </c>
      <c r="I262" s="5">
        <f>Statistics!N6</f>
        <v>0</v>
      </c>
      <c r="J262" s="5">
        <f>Statistics!AD15</f>
        <v>0</v>
      </c>
    </row>
    <row r="263" spans="2:12">
      <c r="B263" s="10" t="s">
        <v>68</v>
      </c>
      <c r="C263" s="10">
        <f>Statistics!AE15</f>
        <v>0</v>
      </c>
      <c r="D263" s="10">
        <f>Statistics!AH15</f>
        <v>0</v>
      </c>
      <c r="I263" s="10" t="s">
        <v>68</v>
      </c>
      <c r="J263" s="10">
        <f>Statistics!AE15</f>
        <v>0</v>
      </c>
      <c r="K263" s="10">
        <f>Statistics!AH15</f>
        <v>0</v>
      </c>
    </row>
    <row r="264" spans="2:12">
      <c r="B264" s="10" t="s">
        <v>69</v>
      </c>
      <c r="C264" s="10">
        <f>Statistics!AG15</f>
        <v>0</v>
      </c>
      <c r="I264" s="10" t="s">
        <v>69</v>
      </c>
      <c r="J264" s="10">
        <f>Statistics!AG15</f>
        <v>0</v>
      </c>
    </row>
    <row r="265" spans="2:12">
      <c r="D265" s="10" t="s">
        <v>71</v>
      </c>
      <c r="E265" s="10"/>
      <c r="K265" s="10" t="s">
        <v>71</v>
      </c>
      <c r="L265" s="10"/>
    </row>
    <row r="266" spans="2:12">
      <c r="B266" s="10" t="s">
        <v>70</v>
      </c>
      <c r="C266" s="10"/>
      <c r="D266" s="10" t="s">
        <v>72</v>
      </c>
      <c r="E266" s="10"/>
      <c r="I266" s="10" t="s">
        <v>70</v>
      </c>
      <c r="J266" s="10"/>
      <c r="K266" s="10" t="s">
        <v>72</v>
      </c>
      <c r="L266" s="10"/>
    </row>
    <row r="278" spans="2:11">
      <c r="B278" s="10" t="s">
        <v>64</v>
      </c>
      <c r="C278" s="10">
        <f>Statistics!B16</f>
        <v>0</v>
      </c>
      <c r="D278" s="10"/>
      <c r="I278" s="10" t="s">
        <v>64</v>
      </c>
      <c r="J278" s="10">
        <f>Statistics!B16</f>
        <v>0</v>
      </c>
      <c r="K278" s="10"/>
    </row>
    <row r="279" spans="2:11">
      <c r="B279" s="10" t="s">
        <v>65</v>
      </c>
      <c r="C279" s="10">
        <f>Statistics!A16</f>
        <v>0</v>
      </c>
      <c r="I279" s="10" t="s">
        <v>65</v>
      </c>
      <c r="J279" s="10">
        <f>Statistics!A16</f>
        <v>0</v>
      </c>
    </row>
    <row r="281" spans="2:11">
      <c r="B281" s="5" t="s">
        <v>66</v>
      </c>
      <c r="C281" s="5" t="s">
        <v>67</v>
      </c>
      <c r="I281" s="5" t="s">
        <v>66</v>
      </c>
      <c r="J281" s="5" t="s">
        <v>67</v>
      </c>
    </row>
    <row r="282" spans="2:11">
      <c r="B282" s="5">
        <f>Statistics!D6</f>
        <v>0</v>
      </c>
      <c r="C282" s="5">
        <f>Statistics!T16</f>
        <v>0</v>
      </c>
      <c r="I282" s="5">
        <f>Statistics!D6</f>
        <v>0</v>
      </c>
      <c r="J282" s="5">
        <f>Statistics!T16</f>
        <v>0</v>
      </c>
    </row>
    <row r="283" spans="2:11">
      <c r="B283" s="5">
        <f>Statistics!E6</f>
        <v>0</v>
      </c>
      <c r="C283" s="5">
        <f>Statistics!U16</f>
        <v>0</v>
      </c>
      <c r="I283" s="5">
        <f>Statistics!E6</f>
        <v>0</v>
      </c>
      <c r="J283" s="5">
        <f>Statistics!U16</f>
        <v>0</v>
      </c>
    </row>
    <row r="284" spans="2:11">
      <c r="B284" s="5">
        <f>Statistics!F6</f>
        <v>0</v>
      </c>
      <c r="C284" s="5">
        <f>Statistics!V16</f>
        <v>0</v>
      </c>
      <c r="I284" s="5">
        <f>Statistics!F6</f>
        <v>0</v>
      </c>
      <c r="J284" s="5">
        <f>Statistics!V16</f>
        <v>0</v>
      </c>
    </row>
    <row r="285" spans="2:11">
      <c r="B285" s="5">
        <f>Statistics!G6</f>
        <v>0</v>
      </c>
      <c r="C285" s="5">
        <f>Statistics!W16</f>
        <v>0</v>
      </c>
      <c r="I285" s="5">
        <f>Statistics!G6</f>
        <v>0</v>
      </c>
      <c r="J285" s="5">
        <f>Statistics!W16</f>
        <v>0</v>
      </c>
    </row>
    <row r="286" spans="2:11">
      <c r="B286" s="5">
        <f>Statistics!H6</f>
        <v>0</v>
      </c>
      <c r="C286" s="5">
        <f>Statistics!X16</f>
        <v>0</v>
      </c>
      <c r="I286" s="5">
        <f>Statistics!H6</f>
        <v>0</v>
      </c>
      <c r="J286" s="5">
        <f>Statistics!X16</f>
        <v>0</v>
      </c>
    </row>
    <row r="287" spans="2:11">
      <c r="B287" s="5">
        <f>Statistics!I6</f>
        <v>0</v>
      </c>
      <c r="C287" s="5">
        <f>Statistics!Y16</f>
        <v>0</v>
      </c>
      <c r="I287" s="5">
        <f>Statistics!I6</f>
        <v>0</v>
      </c>
      <c r="J287" s="5">
        <f>Statistics!Y16</f>
        <v>0</v>
      </c>
    </row>
    <row r="288" spans="2:11">
      <c r="B288" s="5">
        <f>Statistics!J6</f>
        <v>0</v>
      </c>
      <c r="C288" s="5">
        <f>Statistics!Z16</f>
        <v>0</v>
      </c>
      <c r="I288" s="5">
        <f>Statistics!J6</f>
        <v>0</v>
      </c>
      <c r="J288" s="5">
        <f>Statistics!Z16</f>
        <v>0</v>
      </c>
    </row>
    <row r="289" spans="2:12">
      <c r="B289" s="5">
        <f>Statistics!K6</f>
        <v>0</v>
      </c>
      <c r="C289" s="5">
        <f>Statistics!AA16</f>
        <v>0</v>
      </c>
      <c r="I289" s="5">
        <f>Statistics!K6</f>
        <v>0</v>
      </c>
      <c r="J289" s="5">
        <f>Statistics!AA16</f>
        <v>0</v>
      </c>
    </row>
    <row r="290" spans="2:12">
      <c r="B290" s="5">
        <f>Statistics!L6</f>
        <v>0</v>
      </c>
      <c r="C290" s="5">
        <f>Statistics!AB16</f>
        <v>0</v>
      </c>
      <c r="I290" s="5">
        <f>Statistics!L6</f>
        <v>0</v>
      </c>
      <c r="J290" s="5">
        <f>Statistics!AB16</f>
        <v>0</v>
      </c>
    </row>
    <row r="291" spans="2:12">
      <c r="B291" s="5">
        <f>Statistics!M6</f>
        <v>0</v>
      </c>
      <c r="C291" s="5">
        <f>Statistics!AC16</f>
        <v>0</v>
      </c>
      <c r="I291" s="5">
        <f>Statistics!M6</f>
        <v>0</v>
      </c>
      <c r="J291" s="5">
        <f>Statistics!AC16</f>
        <v>0</v>
      </c>
    </row>
    <row r="292" spans="2:12">
      <c r="B292" s="5">
        <f>Statistics!N6</f>
        <v>0</v>
      </c>
      <c r="C292" s="5">
        <f>Statistics!AD16</f>
        <v>0</v>
      </c>
      <c r="I292" s="5">
        <f>Statistics!N6</f>
        <v>0</v>
      </c>
      <c r="J292" s="5">
        <f>Statistics!AD16</f>
        <v>0</v>
      </c>
    </row>
    <row r="293" spans="2:12">
      <c r="B293" s="10" t="s">
        <v>68</v>
      </c>
      <c r="C293" s="10">
        <f>Statistics!AE16</f>
        <v>0</v>
      </c>
      <c r="D293" s="10">
        <f>Statistics!AH16</f>
        <v>0</v>
      </c>
      <c r="I293" s="10" t="s">
        <v>68</v>
      </c>
      <c r="J293" s="10">
        <f>Statistics!AE16</f>
        <v>0</v>
      </c>
      <c r="K293" s="10">
        <f>Statistics!AH16</f>
        <v>0</v>
      </c>
    </row>
    <row r="294" spans="2:12">
      <c r="B294" s="10" t="s">
        <v>69</v>
      </c>
      <c r="C294" s="10">
        <f>Statistics!AG16</f>
        <v>0</v>
      </c>
      <c r="I294" s="10" t="s">
        <v>69</v>
      </c>
      <c r="J294" s="10">
        <f>Statistics!AG16</f>
        <v>0</v>
      </c>
    </row>
    <row r="295" spans="2:12">
      <c r="D295" s="10" t="s">
        <v>71</v>
      </c>
      <c r="E295" s="10"/>
      <c r="K295" s="10" t="s">
        <v>71</v>
      </c>
      <c r="L295" s="10"/>
    </row>
    <row r="296" spans="2:12">
      <c r="B296" s="10" t="s">
        <v>70</v>
      </c>
      <c r="C296" s="10"/>
      <c r="D296" s="10" t="s">
        <v>72</v>
      </c>
      <c r="E296" s="10"/>
      <c r="I296" s="10" t="s">
        <v>70</v>
      </c>
      <c r="J296" s="10"/>
      <c r="K296" s="10" t="s">
        <v>72</v>
      </c>
      <c r="L296" s="10"/>
    </row>
    <row r="308" spans="2:11">
      <c r="B308" s="10" t="s">
        <v>64</v>
      </c>
      <c r="C308" s="10">
        <f>Statistics!B17</f>
        <v>0</v>
      </c>
      <c r="D308" s="10"/>
      <c r="I308" s="10" t="s">
        <v>64</v>
      </c>
      <c r="J308" s="10">
        <f>Statistics!B17</f>
        <v>0</v>
      </c>
      <c r="K308" s="10"/>
    </row>
    <row r="309" spans="2:11">
      <c r="B309" s="10" t="s">
        <v>65</v>
      </c>
      <c r="C309" s="10">
        <f>Statistics!A17</f>
        <v>0</v>
      </c>
      <c r="I309" s="10" t="s">
        <v>65</v>
      </c>
      <c r="J309" s="10">
        <f>Statistics!A17</f>
        <v>0</v>
      </c>
    </row>
    <row r="311" spans="2:11">
      <c r="B311" s="5" t="s">
        <v>66</v>
      </c>
      <c r="C311" s="5" t="s">
        <v>67</v>
      </c>
      <c r="I311" s="5" t="s">
        <v>66</v>
      </c>
      <c r="J311" s="5" t="s">
        <v>67</v>
      </c>
    </row>
    <row r="312" spans="2:11">
      <c r="B312" s="5">
        <f>Statistics!D6</f>
        <v>0</v>
      </c>
      <c r="C312" s="5">
        <f>Statistics!T17</f>
        <v>0</v>
      </c>
      <c r="I312" s="5">
        <f>Statistics!D6</f>
        <v>0</v>
      </c>
      <c r="J312" s="5">
        <f>Statistics!T17</f>
        <v>0</v>
      </c>
    </row>
    <row r="313" spans="2:11">
      <c r="B313" s="5">
        <f>Statistics!E6</f>
        <v>0</v>
      </c>
      <c r="C313" s="5">
        <f>Statistics!U17</f>
        <v>0</v>
      </c>
      <c r="I313" s="5">
        <f>Statistics!E6</f>
        <v>0</v>
      </c>
      <c r="J313" s="5">
        <f>Statistics!U17</f>
        <v>0</v>
      </c>
    </row>
    <row r="314" spans="2:11">
      <c r="B314" s="5">
        <f>Statistics!F6</f>
        <v>0</v>
      </c>
      <c r="C314" s="5">
        <f>Statistics!V17</f>
        <v>0</v>
      </c>
      <c r="I314" s="5">
        <f>Statistics!F6</f>
        <v>0</v>
      </c>
      <c r="J314" s="5">
        <f>Statistics!V17</f>
        <v>0</v>
      </c>
    </row>
    <row r="315" spans="2:11">
      <c r="B315" s="5">
        <f>Statistics!G6</f>
        <v>0</v>
      </c>
      <c r="C315" s="5">
        <f>Statistics!W17</f>
        <v>0</v>
      </c>
      <c r="I315" s="5">
        <f>Statistics!G6</f>
        <v>0</v>
      </c>
      <c r="J315" s="5">
        <f>Statistics!W17</f>
        <v>0</v>
      </c>
    </row>
    <row r="316" spans="2:11">
      <c r="B316" s="5">
        <f>Statistics!H6</f>
        <v>0</v>
      </c>
      <c r="C316" s="5">
        <f>Statistics!X17</f>
        <v>0</v>
      </c>
      <c r="I316" s="5">
        <f>Statistics!H6</f>
        <v>0</v>
      </c>
      <c r="J316" s="5">
        <f>Statistics!X17</f>
        <v>0</v>
      </c>
    </row>
    <row r="317" spans="2:11">
      <c r="B317" s="5">
        <f>Statistics!I6</f>
        <v>0</v>
      </c>
      <c r="C317" s="5">
        <f>Statistics!Y17</f>
        <v>0</v>
      </c>
      <c r="I317" s="5">
        <f>Statistics!I6</f>
        <v>0</v>
      </c>
      <c r="J317" s="5">
        <f>Statistics!Y17</f>
        <v>0</v>
      </c>
    </row>
    <row r="318" spans="2:11">
      <c r="B318" s="5">
        <f>Statistics!J6</f>
        <v>0</v>
      </c>
      <c r="C318" s="5">
        <f>Statistics!Z17</f>
        <v>0</v>
      </c>
      <c r="I318" s="5">
        <f>Statistics!J6</f>
        <v>0</v>
      </c>
      <c r="J318" s="5">
        <f>Statistics!Z17</f>
        <v>0</v>
      </c>
    </row>
    <row r="319" spans="2:11">
      <c r="B319" s="5">
        <f>Statistics!K6</f>
        <v>0</v>
      </c>
      <c r="C319" s="5">
        <f>Statistics!AA17</f>
        <v>0</v>
      </c>
      <c r="I319" s="5">
        <f>Statistics!K6</f>
        <v>0</v>
      </c>
      <c r="J319" s="5">
        <f>Statistics!AA17</f>
        <v>0</v>
      </c>
    </row>
    <row r="320" spans="2:11">
      <c r="B320" s="5">
        <f>Statistics!L6</f>
        <v>0</v>
      </c>
      <c r="C320" s="5">
        <f>Statistics!AB17</f>
        <v>0</v>
      </c>
      <c r="I320" s="5">
        <f>Statistics!L6</f>
        <v>0</v>
      </c>
      <c r="J320" s="5">
        <f>Statistics!AB17</f>
        <v>0</v>
      </c>
    </row>
    <row r="321" spans="2:12">
      <c r="B321" s="5">
        <f>Statistics!M6</f>
        <v>0</v>
      </c>
      <c r="C321" s="5">
        <f>Statistics!AC17</f>
        <v>0</v>
      </c>
      <c r="I321" s="5">
        <f>Statistics!M6</f>
        <v>0</v>
      </c>
      <c r="J321" s="5">
        <f>Statistics!AC17</f>
        <v>0</v>
      </c>
    </row>
    <row r="322" spans="2:12">
      <c r="B322" s="5">
        <f>Statistics!N6</f>
        <v>0</v>
      </c>
      <c r="C322" s="5">
        <f>Statistics!AD17</f>
        <v>0</v>
      </c>
      <c r="I322" s="5">
        <f>Statistics!N6</f>
        <v>0</v>
      </c>
      <c r="J322" s="5">
        <f>Statistics!AD17</f>
        <v>0</v>
      </c>
    </row>
    <row r="323" spans="2:12">
      <c r="B323" s="10" t="s">
        <v>68</v>
      </c>
      <c r="C323" s="10">
        <f>Statistics!AE17</f>
        <v>0</v>
      </c>
      <c r="D323" s="10">
        <f>Statistics!AH17</f>
        <v>0</v>
      </c>
      <c r="I323" s="10" t="s">
        <v>68</v>
      </c>
      <c r="J323" s="10">
        <f>Statistics!AE17</f>
        <v>0</v>
      </c>
      <c r="K323" s="10">
        <f>Statistics!AH17</f>
        <v>0</v>
      </c>
    </row>
    <row r="324" spans="2:12">
      <c r="B324" s="10" t="s">
        <v>69</v>
      </c>
      <c r="C324" s="10">
        <f>Statistics!AG17</f>
        <v>0</v>
      </c>
      <c r="I324" s="10" t="s">
        <v>69</v>
      </c>
      <c r="J324" s="10">
        <f>Statistics!AG17</f>
        <v>0</v>
      </c>
    </row>
    <row r="325" spans="2:12">
      <c r="D325" s="10" t="s">
        <v>71</v>
      </c>
      <c r="E325" s="10"/>
      <c r="K325" s="10" t="s">
        <v>71</v>
      </c>
      <c r="L325" s="10"/>
    </row>
    <row r="326" spans="2:12">
      <c r="B326" s="10" t="s">
        <v>70</v>
      </c>
      <c r="C326" s="10"/>
      <c r="D326" s="10" t="s">
        <v>72</v>
      </c>
      <c r="E326" s="10"/>
      <c r="I326" s="10" t="s">
        <v>70</v>
      </c>
      <c r="J326" s="10"/>
      <c r="K326" s="10" t="s">
        <v>72</v>
      </c>
      <c r="L326" s="10"/>
    </row>
    <row r="338" spans="2:11">
      <c r="B338" s="10" t="s">
        <v>64</v>
      </c>
      <c r="C338" s="10">
        <f>Statistics!B18</f>
        <v>0</v>
      </c>
      <c r="D338" s="10"/>
      <c r="I338" s="10" t="s">
        <v>64</v>
      </c>
      <c r="J338" s="10">
        <f>Statistics!B18</f>
        <v>0</v>
      </c>
      <c r="K338" s="10"/>
    </row>
    <row r="339" spans="2:11">
      <c r="B339" s="10" t="s">
        <v>65</v>
      </c>
      <c r="C339" s="10">
        <f>Statistics!A18</f>
        <v>0</v>
      </c>
      <c r="I339" s="10" t="s">
        <v>65</v>
      </c>
      <c r="J339" s="10">
        <f>Statistics!A18</f>
        <v>0</v>
      </c>
    </row>
    <row r="341" spans="2:11">
      <c r="B341" s="5" t="s">
        <v>66</v>
      </c>
      <c r="C341" s="5" t="s">
        <v>67</v>
      </c>
      <c r="I341" s="5" t="s">
        <v>66</v>
      </c>
      <c r="J341" s="5" t="s">
        <v>67</v>
      </c>
    </row>
    <row r="342" spans="2:11">
      <c r="B342" s="5">
        <f>Statistics!D6</f>
        <v>0</v>
      </c>
      <c r="C342" s="5">
        <f>Statistics!T18</f>
        <v>0</v>
      </c>
      <c r="I342" s="5">
        <f>Statistics!D6</f>
        <v>0</v>
      </c>
      <c r="J342" s="5">
        <f>Statistics!T18</f>
        <v>0</v>
      </c>
    </row>
    <row r="343" spans="2:11">
      <c r="B343" s="5">
        <f>Statistics!E6</f>
        <v>0</v>
      </c>
      <c r="C343" s="5">
        <f>Statistics!U18</f>
        <v>0</v>
      </c>
      <c r="I343" s="5">
        <f>Statistics!E6</f>
        <v>0</v>
      </c>
      <c r="J343" s="5">
        <f>Statistics!U18</f>
        <v>0</v>
      </c>
    </row>
    <row r="344" spans="2:11">
      <c r="B344" s="5">
        <f>Statistics!F6</f>
        <v>0</v>
      </c>
      <c r="C344" s="5">
        <f>Statistics!V18</f>
        <v>0</v>
      </c>
      <c r="I344" s="5">
        <f>Statistics!F6</f>
        <v>0</v>
      </c>
      <c r="J344" s="5">
        <f>Statistics!V18</f>
        <v>0</v>
      </c>
    </row>
    <row r="345" spans="2:11">
      <c r="B345" s="5">
        <f>Statistics!G6</f>
        <v>0</v>
      </c>
      <c r="C345" s="5">
        <f>Statistics!W18</f>
        <v>0</v>
      </c>
      <c r="I345" s="5">
        <f>Statistics!G6</f>
        <v>0</v>
      </c>
      <c r="J345" s="5">
        <f>Statistics!W18</f>
        <v>0</v>
      </c>
    </row>
    <row r="346" spans="2:11">
      <c r="B346" s="5">
        <f>Statistics!H6</f>
        <v>0</v>
      </c>
      <c r="C346" s="5">
        <f>Statistics!X18</f>
        <v>0</v>
      </c>
      <c r="I346" s="5">
        <f>Statistics!H6</f>
        <v>0</v>
      </c>
      <c r="J346" s="5">
        <f>Statistics!X18</f>
        <v>0</v>
      </c>
    </row>
    <row r="347" spans="2:11">
      <c r="B347" s="5">
        <f>Statistics!I6</f>
        <v>0</v>
      </c>
      <c r="C347" s="5">
        <f>Statistics!Y18</f>
        <v>0</v>
      </c>
      <c r="I347" s="5">
        <f>Statistics!I6</f>
        <v>0</v>
      </c>
      <c r="J347" s="5">
        <f>Statistics!Y18</f>
        <v>0</v>
      </c>
    </row>
    <row r="348" spans="2:11">
      <c r="B348" s="5">
        <f>Statistics!J6</f>
        <v>0</v>
      </c>
      <c r="C348" s="5">
        <f>Statistics!Z18</f>
        <v>0</v>
      </c>
      <c r="I348" s="5">
        <f>Statistics!J6</f>
        <v>0</v>
      </c>
      <c r="J348" s="5">
        <f>Statistics!Z18</f>
        <v>0</v>
      </c>
    </row>
    <row r="349" spans="2:11">
      <c r="B349" s="5">
        <f>Statistics!K6</f>
        <v>0</v>
      </c>
      <c r="C349" s="5">
        <f>Statistics!AA18</f>
        <v>0</v>
      </c>
      <c r="I349" s="5">
        <f>Statistics!K6</f>
        <v>0</v>
      </c>
      <c r="J349" s="5">
        <f>Statistics!AA18</f>
        <v>0</v>
      </c>
    </row>
    <row r="350" spans="2:11">
      <c r="B350" s="5">
        <f>Statistics!L6</f>
        <v>0</v>
      </c>
      <c r="C350" s="5">
        <f>Statistics!AB18</f>
        <v>0</v>
      </c>
      <c r="I350" s="5">
        <f>Statistics!L6</f>
        <v>0</v>
      </c>
      <c r="J350" s="5">
        <f>Statistics!AB18</f>
        <v>0</v>
      </c>
    </row>
    <row r="351" spans="2:11">
      <c r="B351" s="5">
        <f>Statistics!M6</f>
        <v>0</v>
      </c>
      <c r="C351" s="5">
        <f>Statistics!AC18</f>
        <v>0</v>
      </c>
      <c r="I351" s="5">
        <f>Statistics!M6</f>
        <v>0</v>
      </c>
      <c r="J351" s="5">
        <f>Statistics!AC18</f>
        <v>0</v>
      </c>
    </row>
    <row r="352" spans="2:11">
      <c r="B352" s="5">
        <f>Statistics!N6</f>
        <v>0</v>
      </c>
      <c r="C352" s="5">
        <f>Statistics!AD18</f>
        <v>0</v>
      </c>
      <c r="I352" s="5">
        <f>Statistics!N6</f>
        <v>0</v>
      </c>
      <c r="J352" s="5">
        <f>Statistics!AD18</f>
        <v>0</v>
      </c>
    </row>
    <row r="353" spans="2:12">
      <c r="B353" s="10" t="s">
        <v>68</v>
      </c>
      <c r="C353" s="10">
        <f>Statistics!AE18</f>
        <v>0</v>
      </c>
      <c r="D353" s="10">
        <f>Statistics!AH18</f>
        <v>0</v>
      </c>
      <c r="I353" s="10" t="s">
        <v>68</v>
      </c>
      <c r="J353" s="10">
        <f>Statistics!AE18</f>
        <v>0</v>
      </c>
      <c r="K353" s="10">
        <f>Statistics!AH18</f>
        <v>0</v>
      </c>
    </row>
    <row r="354" spans="2:12">
      <c r="B354" s="10" t="s">
        <v>69</v>
      </c>
      <c r="C354" s="10">
        <f>Statistics!AG18</f>
        <v>0</v>
      </c>
      <c r="I354" s="10" t="s">
        <v>69</v>
      </c>
      <c r="J354" s="10">
        <f>Statistics!AG18</f>
        <v>0</v>
      </c>
    </row>
    <row r="355" spans="2:12">
      <c r="D355" s="10" t="s">
        <v>71</v>
      </c>
      <c r="E355" s="10"/>
      <c r="K355" s="10" t="s">
        <v>71</v>
      </c>
      <c r="L355" s="10"/>
    </row>
    <row r="356" spans="2:12">
      <c r="B356" s="10" t="s">
        <v>70</v>
      </c>
      <c r="C356" s="10"/>
      <c r="D356" s="10" t="s">
        <v>72</v>
      </c>
      <c r="E356" s="10"/>
      <c r="I356" s="10" t="s">
        <v>70</v>
      </c>
      <c r="J356" s="10"/>
      <c r="K356" s="10" t="s">
        <v>72</v>
      </c>
      <c r="L356" s="10"/>
    </row>
    <row r="368" spans="2:12">
      <c r="B368" s="10" t="s">
        <v>64</v>
      </c>
      <c r="C368" s="10">
        <f>Statistics!B19</f>
        <v>0</v>
      </c>
      <c r="D368" s="10"/>
      <c r="I368" s="10" t="s">
        <v>64</v>
      </c>
      <c r="J368" s="10">
        <f>Statistics!B19</f>
        <v>0</v>
      </c>
      <c r="K368" s="10"/>
    </row>
    <row r="369" spans="2:11">
      <c r="B369" s="10" t="s">
        <v>65</v>
      </c>
      <c r="C369" s="10">
        <f>Statistics!A19</f>
        <v>0</v>
      </c>
      <c r="I369" s="10" t="s">
        <v>65</v>
      </c>
      <c r="J369" s="10">
        <f>Statistics!A19</f>
        <v>0</v>
      </c>
    </row>
    <row r="371" spans="2:11">
      <c r="B371" s="5" t="s">
        <v>66</v>
      </c>
      <c r="C371" s="5" t="s">
        <v>67</v>
      </c>
      <c r="I371" s="5" t="s">
        <v>66</v>
      </c>
      <c r="J371" s="5" t="s">
        <v>67</v>
      </c>
    </row>
    <row r="372" spans="2:11">
      <c r="B372" s="5">
        <f>Statistics!D6</f>
        <v>0</v>
      </c>
      <c r="C372" s="5">
        <f>Statistics!T19</f>
        <v>0</v>
      </c>
      <c r="I372" s="5">
        <f>Statistics!D6</f>
        <v>0</v>
      </c>
      <c r="J372" s="5">
        <f>Statistics!T19</f>
        <v>0</v>
      </c>
    </row>
    <row r="373" spans="2:11">
      <c r="B373" s="5">
        <f>Statistics!E6</f>
        <v>0</v>
      </c>
      <c r="C373" s="5">
        <f>Statistics!U19</f>
        <v>0</v>
      </c>
      <c r="I373" s="5">
        <f>Statistics!E6</f>
        <v>0</v>
      </c>
      <c r="J373" s="5">
        <f>Statistics!U19</f>
        <v>0</v>
      </c>
    </row>
    <row r="374" spans="2:11">
      <c r="B374" s="5">
        <f>Statistics!F6</f>
        <v>0</v>
      </c>
      <c r="C374" s="5">
        <f>Statistics!V19</f>
        <v>0</v>
      </c>
      <c r="I374" s="5">
        <f>Statistics!F6</f>
        <v>0</v>
      </c>
      <c r="J374" s="5">
        <f>Statistics!V19</f>
        <v>0</v>
      </c>
    </row>
    <row r="375" spans="2:11">
      <c r="B375" s="5">
        <f>Statistics!G6</f>
        <v>0</v>
      </c>
      <c r="C375" s="5">
        <f>Statistics!W19</f>
        <v>0</v>
      </c>
      <c r="I375" s="5">
        <f>Statistics!G6</f>
        <v>0</v>
      </c>
      <c r="J375" s="5">
        <f>Statistics!W19</f>
        <v>0</v>
      </c>
    </row>
    <row r="376" spans="2:11">
      <c r="B376" s="5">
        <f>Statistics!H6</f>
        <v>0</v>
      </c>
      <c r="C376" s="5">
        <f>Statistics!X19</f>
        <v>0</v>
      </c>
      <c r="I376" s="5">
        <f>Statistics!H6</f>
        <v>0</v>
      </c>
      <c r="J376" s="5">
        <f>Statistics!X19</f>
        <v>0</v>
      </c>
    </row>
    <row r="377" spans="2:11">
      <c r="B377" s="5">
        <f>Statistics!I6</f>
        <v>0</v>
      </c>
      <c r="C377" s="5">
        <f>Statistics!Y19</f>
        <v>0</v>
      </c>
      <c r="I377" s="5">
        <f>Statistics!I6</f>
        <v>0</v>
      </c>
      <c r="J377" s="5">
        <f>Statistics!Y19</f>
        <v>0</v>
      </c>
    </row>
    <row r="378" spans="2:11">
      <c r="B378" s="5">
        <f>Statistics!J6</f>
        <v>0</v>
      </c>
      <c r="C378" s="5">
        <f>Statistics!Z19</f>
        <v>0</v>
      </c>
      <c r="I378" s="5">
        <f>Statistics!J6</f>
        <v>0</v>
      </c>
      <c r="J378" s="5">
        <f>Statistics!Z19</f>
        <v>0</v>
      </c>
    </row>
    <row r="379" spans="2:11">
      <c r="B379" s="5">
        <f>Statistics!K6</f>
        <v>0</v>
      </c>
      <c r="C379" s="5">
        <f>Statistics!AA19</f>
        <v>0</v>
      </c>
      <c r="I379" s="5">
        <f>Statistics!K6</f>
        <v>0</v>
      </c>
      <c r="J379" s="5">
        <f>Statistics!AA19</f>
        <v>0</v>
      </c>
    </row>
    <row r="380" spans="2:11">
      <c r="B380" s="5">
        <f>Statistics!L6</f>
        <v>0</v>
      </c>
      <c r="C380" s="5">
        <f>Statistics!AB19</f>
        <v>0</v>
      </c>
      <c r="I380" s="5">
        <f>Statistics!L6</f>
        <v>0</v>
      </c>
      <c r="J380" s="5">
        <f>Statistics!AB19</f>
        <v>0</v>
      </c>
    </row>
    <row r="381" spans="2:11">
      <c r="B381" s="5">
        <f>Statistics!M6</f>
        <v>0</v>
      </c>
      <c r="C381" s="5">
        <f>Statistics!AC19</f>
        <v>0</v>
      </c>
      <c r="I381" s="5">
        <f>Statistics!M6</f>
        <v>0</v>
      </c>
      <c r="J381" s="5">
        <f>Statistics!AC19</f>
        <v>0</v>
      </c>
    </row>
    <row r="382" spans="2:11">
      <c r="B382" s="5">
        <f>Statistics!N6</f>
        <v>0</v>
      </c>
      <c r="C382" s="5">
        <f>Statistics!AD19</f>
        <v>0</v>
      </c>
      <c r="I382" s="5">
        <f>Statistics!N6</f>
        <v>0</v>
      </c>
      <c r="J382" s="5">
        <f>Statistics!AD19</f>
        <v>0</v>
      </c>
    </row>
    <row r="383" spans="2:11">
      <c r="B383" s="10" t="s">
        <v>68</v>
      </c>
      <c r="C383" s="10">
        <f>Statistics!AE19</f>
        <v>0</v>
      </c>
      <c r="D383" s="10">
        <f>Statistics!AH19</f>
        <v>0</v>
      </c>
      <c r="I383" s="10" t="s">
        <v>68</v>
      </c>
      <c r="J383" s="10">
        <f>Statistics!AE19</f>
        <v>0</v>
      </c>
      <c r="K383" s="10">
        <f>Statistics!AH19</f>
        <v>0</v>
      </c>
    </row>
    <row r="384" spans="2:11">
      <c r="B384" s="10" t="s">
        <v>69</v>
      </c>
      <c r="C384" s="10">
        <f>Statistics!AG19</f>
        <v>0</v>
      </c>
      <c r="I384" s="10" t="s">
        <v>69</v>
      </c>
      <c r="J384" s="10">
        <f>Statistics!AG19</f>
        <v>0</v>
      </c>
    </row>
    <row r="385" spans="2:12">
      <c r="D385" s="10" t="s">
        <v>71</v>
      </c>
      <c r="E385" s="10"/>
      <c r="K385" s="10" t="s">
        <v>71</v>
      </c>
      <c r="L385" s="10"/>
    </row>
    <row r="386" spans="2:12">
      <c r="B386" s="10" t="s">
        <v>70</v>
      </c>
      <c r="C386" s="10"/>
      <c r="D386" s="10" t="s">
        <v>72</v>
      </c>
      <c r="E386" s="10"/>
      <c r="I386" s="10" t="s">
        <v>70</v>
      </c>
      <c r="J386" s="10"/>
      <c r="K386" s="10" t="s">
        <v>72</v>
      </c>
      <c r="L386" s="10"/>
    </row>
    <row r="398" spans="2:12">
      <c r="B398" s="10" t="s">
        <v>64</v>
      </c>
      <c r="C398" s="10">
        <f>Statistics!B20</f>
        <v>0</v>
      </c>
      <c r="D398" s="10"/>
      <c r="I398" s="10" t="s">
        <v>64</v>
      </c>
      <c r="J398" s="10">
        <f>Statistics!B20</f>
        <v>0</v>
      </c>
      <c r="K398" s="10"/>
    </row>
    <row r="399" spans="2:12">
      <c r="B399" s="10" t="s">
        <v>65</v>
      </c>
      <c r="C399" s="10">
        <f>Statistics!A20</f>
        <v>0</v>
      </c>
      <c r="I399" s="10" t="s">
        <v>65</v>
      </c>
      <c r="J399" s="10">
        <f>Statistics!A20</f>
        <v>0</v>
      </c>
    </row>
    <row r="401" spans="2:12">
      <c r="B401" s="5" t="s">
        <v>66</v>
      </c>
      <c r="C401" s="5" t="s">
        <v>67</v>
      </c>
      <c r="I401" s="5" t="s">
        <v>66</v>
      </c>
      <c r="J401" s="5" t="s">
        <v>67</v>
      </c>
    </row>
    <row r="402" spans="2:12">
      <c r="B402" s="5">
        <f>Statistics!D6</f>
        <v>0</v>
      </c>
      <c r="C402" s="5">
        <f>Statistics!T20</f>
        <v>0</v>
      </c>
      <c r="I402" s="5">
        <f>Statistics!D6</f>
        <v>0</v>
      </c>
      <c r="J402" s="5">
        <f>Statistics!T20</f>
        <v>0</v>
      </c>
    </row>
    <row r="403" spans="2:12">
      <c r="B403" s="5">
        <f>Statistics!E6</f>
        <v>0</v>
      </c>
      <c r="C403" s="5">
        <f>Statistics!U20</f>
        <v>0</v>
      </c>
      <c r="I403" s="5">
        <f>Statistics!E6</f>
        <v>0</v>
      </c>
      <c r="J403" s="5">
        <f>Statistics!U20</f>
        <v>0</v>
      </c>
    </row>
    <row r="404" spans="2:12">
      <c r="B404" s="5">
        <f>Statistics!F6</f>
        <v>0</v>
      </c>
      <c r="C404" s="5">
        <f>Statistics!V20</f>
        <v>0</v>
      </c>
      <c r="I404" s="5">
        <f>Statistics!F6</f>
        <v>0</v>
      </c>
      <c r="J404" s="5">
        <f>Statistics!V20</f>
        <v>0</v>
      </c>
    </row>
    <row r="405" spans="2:12">
      <c r="B405" s="5">
        <f>Statistics!G6</f>
        <v>0</v>
      </c>
      <c r="C405" s="5">
        <f>Statistics!W20</f>
        <v>0</v>
      </c>
      <c r="I405" s="5">
        <f>Statistics!G6</f>
        <v>0</v>
      </c>
      <c r="J405" s="5">
        <f>Statistics!W20</f>
        <v>0</v>
      </c>
    </row>
    <row r="406" spans="2:12">
      <c r="B406" s="5">
        <f>Statistics!H6</f>
        <v>0</v>
      </c>
      <c r="C406" s="5">
        <f>Statistics!X20</f>
        <v>0</v>
      </c>
      <c r="I406" s="5">
        <f>Statistics!H6</f>
        <v>0</v>
      </c>
      <c r="J406" s="5">
        <f>Statistics!X20</f>
        <v>0</v>
      </c>
    </row>
    <row r="407" spans="2:12">
      <c r="B407" s="5">
        <f>Statistics!I6</f>
        <v>0</v>
      </c>
      <c r="C407" s="5">
        <f>Statistics!Y20</f>
        <v>0</v>
      </c>
      <c r="I407" s="5">
        <f>Statistics!I6</f>
        <v>0</v>
      </c>
      <c r="J407" s="5">
        <f>Statistics!Y20</f>
        <v>0</v>
      </c>
    </row>
    <row r="408" spans="2:12">
      <c r="B408" s="5">
        <f>Statistics!J6</f>
        <v>0</v>
      </c>
      <c r="C408" s="5">
        <f>Statistics!Z20</f>
        <v>0</v>
      </c>
      <c r="I408" s="5">
        <f>Statistics!J6</f>
        <v>0</v>
      </c>
      <c r="J408" s="5">
        <f>Statistics!Z20</f>
        <v>0</v>
      </c>
    </row>
    <row r="409" spans="2:12">
      <c r="B409" s="5">
        <f>Statistics!K6</f>
        <v>0</v>
      </c>
      <c r="C409" s="5">
        <f>Statistics!AA20</f>
        <v>0</v>
      </c>
      <c r="I409" s="5">
        <f>Statistics!K6</f>
        <v>0</v>
      </c>
      <c r="J409" s="5">
        <f>Statistics!AA20</f>
        <v>0</v>
      </c>
    </row>
    <row r="410" spans="2:12">
      <c r="B410" s="5">
        <f>Statistics!L6</f>
        <v>0</v>
      </c>
      <c r="C410" s="5">
        <f>Statistics!AB20</f>
        <v>0</v>
      </c>
      <c r="I410" s="5">
        <f>Statistics!L6</f>
        <v>0</v>
      </c>
      <c r="J410" s="5">
        <f>Statistics!AB20</f>
        <v>0</v>
      </c>
    </row>
    <row r="411" spans="2:12">
      <c r="B411" s="5">
        <f>Statistics!M6</f>
        <v>0</v>
      </c>
      <c r="C411" s="5">
        <f>Statistics!AC20</f>
        <v>0</v>
      </c>
      <c r="I411" s="5">
        <f>Statistics!M6</f>
        <v>0</v>
      </c>
      <c r="J411" s="5">
        <f>Statistics!AC20</f>
        <v>0</v>
      </c>
    </row>
    <row r="412" spans="2:12">
      <c r="B412" s="5">
        <f>Statistics!N6</f>
        <v>0</v>
      </c>
      <c r="C412" s="5">
        <f>Statistics!AD20</f>
        <v>0</v>
      </c>
      <c r="I412" s="5">
        <f>Statistics!N6</f>
        <v>0</v>
      </c>
      <c r="J412" s="5">
        <f>Statistics!AD20</f>
        <v>0</v>
      </c>
    </row>
    <row r="413" spans="2:12">
      <c r="B413" s="10" t="s">
        <v>68</v>
      </c>
      <c r="C413" s="10">
        <f>Statistics!AE20</f>
        <v>0</v>
      </c>
      <c r="D413" s="10">
        <f>Statistics!AH20</f>
        <v>0</v>
      </c>
      <c r="I413" s="10" t="s">
        <v>68</v>
      </c>
      <c r="J413" s="10">
        <f>Statistics!AE20</f>
        <v>0</v>
      </c>
      <c r="K413" s="10">
        <f>Statistics!AH20</f>
        <v>0</v>
      </c>
    </row>
    <row r="414" spans="2:12">
      <c r="B414" s="10" t="s">
        <v>69</v>
      </c>
      <c r="C414" s="10">
        <f>Statistics!AG20</f>
        <v>0</v>
      </c>
      <c r="I414" s="10" t="s">
        <v>69</v>
      </c>
      <c r="J414" s="10">
        <f>Statistics!AG20</f>
        <v>0</v>
      </c>
    </row>
    <row r="415" spans="2:12">
      <c r="D415" s="10" t="s">
        <v>71</v>
      </c>
      <c r="E415" s="10"/>
      <c r="K415" s="10" t="s">
        <v>71</v>
      </c>
      <c r="L415" s="10"/>
    </row>
    <row r="416" spans="2:12">
      <c r="B416" s="10" t="s">
        <v>70</v>
      </c>
      <c r="C416" s="10"/>
      <c r="D416" s="10" t="s">
        <v>72</v>
      </c>
      <c r="E416" s="10"/>
      <c r="I416" s="10" t="s">
        <v>70</v>
      </c>
      <c r="J416" s="10"/>
      <c r="K416" s="10" t="s">
        <v>72</v>
      </c>
      <c r="L416" s="10"/>
    </row>
    <row r="428" spans="2:11">
      <c r="B428" s="10" t="s">
        <v>64</v>
      </c>
      <c r="C428" s="10">
        <f>Statistics!B21</f>
        <v>0</v>
      </c>
      <c r="D428" s="10"/>
      <c r="I428" s="10" t="s">
        <v>64</v>
      </c>
      <c r="J428" s="10">
        <f>Statistics!B21</f>
        <v>0</v>
      </c>
      <c r="K428" s="10"/>
    </row>
    <row r="429" spans="2:11">
      <c r="B429" s="10" t="s">
        <v>65</v>
      </c>
      <c r="C429" s="10">
        <f>Statistics!A21</f>
        <v>0</v>
      </c>
      <c r="I429" s="10" t="s">
        <v>65</v>
      </c>
      <c r="J429" s="10">
        <f>Statistics!A21</f>
        <v>0</v>
      </c>
    </row>
    <row r="431" spans="2:11">
      <c r="B431" s="5" t="s">
        <v>66</v>
      </c>
      <c r="C431" s="5" t="s">
        <v>67</v>
      </c>
      <c r="I431" s="5" t="s">
        <v>66</v>
      </c>
      <c r="J431" s="5" t="s">
        <v>67</v>
      </c>
    </row>
    <row r="432" spans="2:11">
      <c r="B432" s="5">
        <f>Statistics!D6</f>
        <v>0</v>
      </c>
      <c r="C432" s="5">
        <f>Statistics!T21</f>
        <v>0</v>
      </c>
      <c r="I432" s="5">
        <f>Statistics!D6</f>
        <v>0</v>
      </c>
      <c r="J432" s="5">
        <f>Statistics!T21</f>
        <v>0</v>
      </c>
    </row>
    <row r="433" spans="2:12">
      <c r="B433" s="5">
        <f>Statistics!E6</f>
        <v>0</v>
      </c>
      <c r="C433" s="5">
        <f>Statistics!U21</f>
        <v>0</v>
      </c>
      <c r="I433" s="5">
        <f>Statistics!E6</f>
        <v>0</v>
      </c>
      <c r="J433" s="5">
        <f>Statistics!U21</f>
        <v>0</v>
      </c>
    </row>
    <row r="434" spans="2:12">
      <c r="B434" s="5">
        <f>Statistics!F6</f>
        <v>0</v>
      </c>
      <c r="C434" s="5">
        <f>Statistics!V21</f>
        <v>0</v>
      </c>
      <c r="I434" s="5">
        <f>Statistics!F6</f>
        <v>0</v>
      </c>
      <c r="J434" s="5">
        <f>Statistics!V21</f>
        <v>0</v>
      </c>
    </row>
    <row r="435" spans="2:12">
      <c r="B435" s="5">
        <f>Statistics!G6</f>
        <v>0</v>
      </c>
      <c r="C435" s="5">
        <f>Statistics!W21</f>
        <v>0</v>
      </c>
      <c r="I435" s="5">
        <f>Statistics!G6</f>
        <v>0</v>
      </c>
      <c r="J435" s="5">
        <f>Statistics!W21</f>
        <v>0</v>
      </c>
    </row>
    <row r="436" spans="2:12">
      <c r="B436" s="5">
        <f>Statistics!H6</f>
        <v>0</v>
      </c>
      <c r="C436" s="5">
        <f>Statistics!X21</f>
        <v>0</v>
      </c>
      <c r="I436" s="5">
        <f>Statistics!H6</f>
        <v>0</v>
      </c>
      <c r="J436" s="5">
        <f>Statistics!X21</f>
        <v>0</v>
      </c>
    </row>
    <row r="437" spans="2:12">
      <c r="B437" s="5">
        <f>Statistics!I6</f>
        <v>0</v>
      </c>
      <c r="C437" s="5">
        <f>Statistics!Y21</f>
        <v>0</v>
      </c>
      <c r="I437" s="5">
        <f>Statistics!I6</f>
        <v>0</v>
      </c>
      <c r="J437" s="5">
        <f>Statistics!Y21</f>
        <v>0</v>
      </c>
    </row>
    <row r="438" spans="2:12">
      <c r="B438" s="5">
        <f>Statistics!J6</f>
        <v>0</v>
      </c>
      <c r="C438" s="5">
        <f>Statistics!Z21</f>
        <v>0</v>
      </c>
      <c r="I438" s="5">
        <f>Statistics!J6</f>
        <v>0</v>
      </c>
      <c r="J438" s="5">
        <f>Statistics!Z21</f>
        <v>0</v>
      </c>
    </row>
    <row r="439" spans="2:12">
      <c r="B439" s="5">
        <f>Statistics!K6</f>
        <v>0</v>
      </c>
      <c r="C439" s="5">
        <f>Statistics!AA21</f>
        <v>0</v>
      </c>
      <c r="I439" s="5">
        <f>Statistics!K6</f>
        <v>0</v>
      </c>
      <c r="J439" s="5">
        <f>Statistics!AA21</f>
        <v>0</v>
      </c>
    </row>
    <row r="440" spans="2:12">
      <c r="B440" s="5">
        <f>Statistics!L6</f>
        <v>0</v>
      </c>
      <c r="C440" s="5">
        <f>Statistics!AB21</f>
        <v>0</v>
      </c>
      <c r="I440" s="5">
        <f>Statistics!L6</f>
        <v>0</v>
      </c>
      <c r="J440" s="5">
        <f>Statistics!AB21</f>
        <v>0</v>
      </c>
    </row>
    <row r="441" spans="2:12">
      <c r="B441" s="5">
        <f>Statistics!M6</f>
        <v>0</v>
      </c>
      <c r="C441" s="5">
        <f>Statistics!AC21</f>
        <v>0</v>
      </c>
      <c r="I441" s="5">
        <f>Statistics!M6</f>
        <v>0</v>
      </c>
      <c r="J441" s="5">
        <f>Statistics!AC21</f>
        <v>0</v>
      </c>
    </row>
    <row r="442" spans="2:12">
      <c r="B442" s="5">
        <f>Statistics!N6</f>
        <v>0</v>
      </c>
      <c r="C442" s="5">
        <f>Statistics!AD21</f>
        <v>0</v>
      </c>
      <c r="I442" s="5">
        <f>Statistics!N6</f>
        <v>0</v>
      </c>
      <c r="J442" s="5">
        <f>Statistics!AD21</f>
        <v>0</v>
      </c>
    </row>
    <row r="443" spans="2:12">
      <c r="B443" s="10" t="s">
        <v>68</v>
      </c>
      <c r="C443" s="10">
        <f>Statistics!AE21</f>
        <v>0</v>
      </c>
      <c r="D443" s="10">
        <f>Statistics!AH21</f>
        <v>0</v>
      </c>
      <c r="I443" s="10" t="s">
        <v>68</v>
      </c>
      <c r="J443" s="10">
        <f>Statistics!AE21</f>
        <v>0</v>
      </c>
      <c r="K443" s="10">
        <f>Statistics!AH21</f>
        <v>0</v>
      </c>
    </row>
    <row r="444" spans="2:12">
      <c r="B444" s="10" t="s">
        <v>69</v>
      </c>
      <c r="C444" s="10">
        <f>Statistics!AG21</f>
        <v>0</v>
      </c>
      <c r="I444" s="10" t="s">
        <v>69</v>
      </c>
      <c r="J444" s="10">
        <f>Statistics!AG21</f>
        <v>0</v>
      </c>
    </row>
    <row r="445" spans="2:12">
      <c r="D445" s="10" t="s">
        <v>71</v>
      </c>
      <c r="E445" s="10"/>
      <c r="K445" s="10" t="s">
        <v>71</v>
      </c>
      <c r="L445" s="10"/>
    </row>
    <row r="446" spans="2:12">
      <c r="B446" s="10" t="s">
        <v>70</v>
      </c>
      <c r="C446" s="10"/>
      <c r="D446" s="10" t="s">
        <v>72</v>
      </c>
      <c r="E446" s="10"/>
      <c r="I446" s="10" t="s">
        <v>70</v>
      </c>
      <c r="J446" s="10"/>
      <c r="K446" s="10" t="s">
        <v>72</v>
      </c>
      <c r="L446" s="10"/>
    </row>
    <row r="458" spans="2:11">
      <c r="B458" s="10" t="s">
        <v>64</v>
      </c>
      <c r="C458" s="10">
        <f>Statistics!B22</f>
        <v>0</v>
      </c>
      <c r="D458" s="10"/>
      <c r="I458" s="10" t="s">
        <v>64</v>
      </c>
      <c r="J458" s="10">
        <f>Statistics!B22</f>
        <v>0</v>
      </c>
      <c r="K458" s="10"/>
    </row>
    <row r="459" spans="2:11">
      <c r="B459" s="10" t="s">
        <v>65</v>
      </c>
      <c r="C459" s="10">
        <f>Statistics!A22</f>
        <v>0</v>
      </c>
      <c r="I459" s="10" t="s">
        <v>65</v>
      </c>
      <c r="J459" s="10">
        <f>Statistics!A22</f>
        <v>0</v>
      </c>
    </row>
    <row r="461" spans="2:11">
      <c r="B461" s="5" t="s">
        <v>66</v>
      </c>
      <c r="C461" s="5" t="s">
        <v>67</v>
      </c>
      <c r="I461" s="5" t="s">
        <v>66</v>
      </c>
      <c r="J461" s="5" t="s">
        <v>67</v>
      </c>
    </row>
    <row r="462" spans="2:11">
      <c r="B462" s="5">
        <f>Statistics!D6</f>
        <v>0</v>
      </c>
      <c r="C462" s="5">
        <f>Statistics!T22</f>
        <v>0</v>
      </c>
      <c r="I462" s="5">
        <f>Statistics!D6</f>
        <v>0</v>
      </c>
      <c r="J462" s="5">
        <f>Statistics!T22</f>
        <v>0</v>
      </c>
    </row>
    <row r="463" spans="2:11">
      <c r="B463" s="5">
        <f>Statistics!E6</f>
        <v>0</v>
      </c>
      <c r="C463" s="5">
        <f>Statistics!U22</f>
        <v>0</v>
      </c>
      <c r="I463" s="5">
        <f>Statistics!E6</f>
        <v>0</v>
      </c>
      <c r="J463" s="5">
        <f>Statistics!U22</f>
        <v>0</v>
      </c>
    </row>
    <row r="464" spans="2:11">
      <c r="B464" s="5">
        <f>Statistics!F6</f>
        <v>0</v>
      </c>
      <c r="C464" s="5">
        <f>Statistics!V22</f>
        <v>0</v>
      </c>
      <c r="I464" s="5">
        <f>Statistics!F6</f>
        <v>0</v>
      </c>
      <c r="J464" s="5">
        <f>Statistics!V22</f>
        <v>0</v>
      </c>
    </row>
    <row r="465" spans="2:12">
      <c r="B465" s="5">
        <f>Statistics!G6</f>
        <v>0</v>
      </c>
      <c r="C465" s="5">
        <f>Statistics!W22</f>
        <v>0</v>
      </c>
      <c r="I465" s="5">
        <f>Statistics!G6</f>
        <v>0</v>
      </c>
      <c r="J465" s="5">
        <f>Statistics!W22</f>
        <v>0</v>
      </c>
    </row>
    <row r="466" spans="2:12">
      <c r="B466" s="5">
        <f>Statistics!H6</f>
        <v>0</v>
      </c>
      <c r="C466" s="5">
        <f>Statistics!X22</f>
        <v>0</v>
      </c>
      <c r="I466" s="5">
        <f>Statistics!H6</f>
        <v>0</v>
      </c>
      <c r="J466" s="5">
        <f>Statistics!X22</f>
        <v>0</v>
      </c>
    </row>
    <row r="467" spans="2:12">
      <c r="B467" s="5">
        <f>Statistics!I6</f>
        <v>0</v>
      </c>
      <c r="C467" s="5">
        <f>Statistics!Y22</f>
        <v>0</v>
      </c>
      <c r="I467" s="5">
        <f>Statistics!I6</f>
        <v>0</v>
      </c>
      <c r="J467" s="5">
        <f>Statistics!Y22</f>
        <v>0</v>
      </c>
    </row>
    <row r="468" spans="2:12">
      <c r="B468" s="5">
        <f>Statistics!J6</f>
        <v>0</v>
      </c>
      <c r="C468" s="5">
        <f>Statistics!Z22</f>
        <v>0</v>
      </c>
      <c r="I468" s="5">
        <f>Statistics!J6</f>
        <v>0</v>
      </c>
      <c r="J468" s="5">
        <f>Statistics!Z22</f>
        <v>0</v>
      </c>
    </row>
    <row r="469" spans="2:12">
      <c r="B469" s="5">
        <f>Statistics!K6</f>
        <v>0</v>
      </c>
      <c r="C469" s="5">
        <f>Statistics!AA22</f>
        <v>0</v>
      </c>
      <c r="I469" s="5">
        <f>Statistics!K6</f>
        <v>0</v>
      </c>
      <c r="J469" s="5">
        <f>Statistics!AA22</f>
        <v>0</v>
      </c>
    </row>
    <row r="470" spans="2:12">
      <c r="B470" s="5">
        <f>Statistics!L6</f>
        <v>0</v>
      </c>
      <c r="C470" s="5">
        <f>Statistics!AB22</f>
        <v>0</v>
      </c>
      <c r="I470" s="5">
        <f>Statistics!L6</f>
        <v>0</v>
      </c>
      <c r="J470" s="5">
        <f>Statistics!AB22</f>
        <v>0</v>
      </c>
    </row>
    <row r="471" spans="2:12">
      <c r="B471" s="5">
        <f>Statistics!M6</f>
        <v>0</v>
      </c>
      <c r="C471" s="5">
        <f>Statistics!AC22</f>
        <v>0</v>
      </c>
      <c r="I471" s="5">
        <f>Statistics!M6</f>
        <v>0</v>
      </c>
      <c r="J471" s="5">
        <f>Statistics!AC22</f>
        <v>0</v>
      </c>
    </row>
    <row r="472" spans="2:12">
      <c r="B472" s="5">
        <f>Statistics!N6</f>
        <v>0</v>
      </c>
      <c r="C472" s="5">
        <f>Statistics!AD22</f>
        <v>0</v>
      </c>
      <c r="I472" s="5">
        <f>Statistics!N6</f>
        <v>0</v>
      </c>
      <c r="J472" s="5">
        <f>Statistics!AD22</f>
        <v>0</v>
      </c>
    </row>
    <row r="473" spans="2:12">
      <c r="B473" s="10" t="s">
        <v>68</v>
      </c>
      <c r="C473" s="10">
        <f>Statistics!AE22</f>
        <v>0</v>
      </c>
      <c r="D473" s="10">
        <f>Statistics!AH22</f>
        <v>0</v>
      </c>
      <c r="I473" s="10" t="s">
        <v>68</v>
      </c>
      <c r="J473" s="10">
        <f>Statistics!AE22</f>
        <v>0</v>
      </c>
      <c r="K473" s="10">
        <f>Statistics!AH22</f>
        <v>0</v>
      </c>
    </row>
    <row r="474" spans="2:12">
      <c r="B474" s="10" t="s">
        <v>69</v>
      </c>
      <c r="C474" s="10">
        <f>Statistics!AG22</f>
        <v>0</v>
      </c>
      <c r="I474" s="10" t="s">
        <v>69</v>
      </c>
      <c r="J474" s="10">
        <f>Statistics!AG22</f>
        <v>0</v>
      </c>
    </row>
    <row r="475" spans="2:12">
      <c r="D475" s="10" t="s">
        <v>71</v>
      </c>
      <c r="E475" s="10"/>
      <c r="K475" s="10" t="s">
        <v>71</v>
      </c>
      <c r="L475" s="10"/>
    </row>
    <row r="476" spans="2:12">
      <c r="B476" s="10" t="s">
        <v>70</v>
      </c>
      <c r="C476" s="10"/>
      <c r="D476" s="10" t="s">
        <v>72</v>
      </c>
      <c r="E476" s="10"/>
      <c r="I476" s="10" t="s">
        <v>70</v>
      </c>
      <c r="J476" s="10"/>
      <c r="K476" s="10" t="s">
        <v>72</v>
      </c>
      <c r="L476" s="10"/>
    </row>
    <row r="488" spans="2:11">
      <c r="B488" s="10" t="s">
        <v>64</v>
      </c>
      <c r="C488" s="10">
        <f>Statistics!B23</f>
        <v>0</v>
      </c>
      <c r="D488" s="10"/>
      <c r="I488" s="10" t="s">
        <v>64</v>
      </c>
      <c r="J488" s="10">
        <f>Statistics!B23</f>
        <v>0</v>
      </c>
      <c r="K488" s="10"/>
    </row>
    <row r="489" spans="2:11">
      <c r="B489" s="10" t="s">
        <v>65</v>
      </c>
      <c r="C489" s="10">
        <f>Statistics!A23</f>
        <v>0</v>
      </c>
      <c r="I489" s="10" t="s">
        <v>65</v>
      </c>
      <c r="J489" s="10">
        <f>Statistics!A23</f>
        <v>0</v>
      </c>
    </row>
    <row r="491" spans="2:11">
      <c r="B491" s="5" t="s">
        <v>66</v>
      </c>
      <c r="C491" s="5" t="s">
        <v>67</v>
      </c>
      <c r="I491" s="5" t="s">
        <v>66</v>
      </c>
      <c r="J491" s="5" t="s">
        <v>67</v>
      </c>
    </row>
    <row r="492" spans="2:11">
      <c r="B492" s="5">
        <f>Statistics!D6</f>
        <v>0</v>
      </c>
      <c r="C492" s="5">
        <f>Statistics!T23</f>
        <v>0</v>
      </c>
      <c r="I492" s="5">
        <f>Statistics!D6</f>
        <v>0</v>
      </c>
      <c r="J492" s="5">
        <f>Statistics!T23</f>
        <v>0</v>
      </c>
    </row>
    <row r="493" spans="2:11">
      <c r="B493" s="5">
        <f>Statistics!E6</f>
        <v>0</v>
      </c>
      <c r="C493" s="5">
        <f>Statistics!U23</f>
        <v>0</v>
      </c>
      <c r="I493" s="5">
        <f>Statistics!E6</f>
        <v>0</v>
      </c>
      <c r="J493" s="5">
        <f>Statistics!U23</f>
        <v>0</v>
      </c>
    </row>
    <row r="494" spans="2:11">
      <c r="B494" s="5">
        <f>Statistics!F6</f>
        <v>0</v>
      </c>
      <c r="C494" s="5">
        <f>Statistics!V23</f>
        <v>0</v>
      </c>
      <c r="I494" s="5">
        <f>Statistics!F6</f>
        <v>0</v>
      </c>
      <c r="J494" s="5">
        <f>Statistics!V23</f>
        <v>0</v>
      </c>
    </row>
    <row r="495" spans="2:11">
      <c r="B495" s="5">
        <f>Statistics!G6</f>
        <v>0</v>
      </c>
      <c r="C495" s="5">
        <f>Statistics!W23</f>
        <v>0</v>
      </c>
      <c r="I495" s="5">
        <f>Statistics!G6</f>
        <v>0</v>
      </c>
      <c r="J495" s="5">
        <f>Statistics!W23</f>
        <v>0</v>
      </c>
    </row>
    <row r="496" spans="2:11">
      <c r="B496" s="5">
        <f>Statistics!H6</f>
        <v>0</v>
      </c>
      <c r="C496" s="5">
        <f>Statistics!X23</f>
        <v>0</v>
      </c>
      <c r="I496" s="5">
        <f>Statistics!H6</f>
        <v>0</v>
      </c>
      <c r="J496" s="5">
        <f>Statistics!X23</f>
        <v>0</v>
      </c>
    </row>
    <row r="497" spans="2:12">
      <c r="B497" s="5">
        <f>Statistics!I6</f>
        <v>0</v>
      </c>
      <c r="C497" s="5">
        <f>Statistics!Y23</f>
        <v>0</v>
      </c>
      <c r="I497" s="5">
        <f>Statistics!I6</f>
        <v>0</v>
      </c>
      <c r="J497" s="5">
        <f>Statistics!Y23</f>
        <v>0</v>
      </c>
    </row>
    <row r="498" spans="2:12">
      <c r="B498" s="5">
        <f>Statistics!J6</f>
        <v>0</v>
      </c>
      <c r="C498" s="5">
        <f>Statistics!Z23</f>
        <v>0</v>
      </c>
      <c r="I498" s="5">
        <f>Statistics!J6</f>
        <v>0</v>
      </c>
      <c r="J498" s="5">
        <f>Statistics!Z23</f>
        <v>0</v>
      </c>
    </row>
    <row r="499" spans="2:12">
      <c r="B499" s="5">
        <f>Statistics!K6</f>
        <v>0</v>
      </c>
      <c r="C499" s="5">
        <f>Statistics!AA23</f>
        <v>0</v>
      </c>
      <c r="I499" s="5">
        <f>Statistics!K6</f>
        <v>0</v>
      </c>
      <c r="J499" s="5">
        <f>Statistics!AA23</f>
        <v>0</v>
      </c>
    </row>
    <row r="500" spans="2:12">
      <c r="B500" s="5">
        <f>Statistics!L6</f>
        <v>0</v>
      </c>
      <c r="C500" s="5">
        <f>Statistics!AB23</f>
        <v>0</v>
      </c>
      <c r="I500" s="5">
        <f>Statistics!L6</f>
        <v>0</v>
      </c>
      <c r="J500" s="5">
        <f>Statistics!AB23</f>
        <v>0</v>
      </c>
    </row>
    <row r="501" spans="2:12">
      <c r="B501" s="5">
        <f>Statistics!M6</f>
        <v>0</v>
      </c>
      <c r="C501" s="5">
        <f>Statistics!AC23</f>
        <v>0</v>
      </c>
      <c r="I501" s="5">
        <f>Statistics!M6</f>
        <v>0</v>
      </c>
      <c r="J501" s="5">
        <f>Statistics!AC23</f>
        <v>0</v>
      </c>
    </row>
    <row r="502" spans="2:12">
      <c r="B502" s="5">
        <f>Statistics!N6</f>
        <v>0</v>
      </c>
      <c r="C502" s="5">
        <f>Statistics!AD23</f>
        <v>0</v>
      </c>
      <c r="I502" s="5">
        <f>Statistics!N6</f>
        <v>0</v>
      </c>
      <c r="J502" s="5">
        <f>Statistics!AD23</f>
        <v>0</v>
      </c>
    </row>
    <row r="503" spans="2:12">
      <c r="B503" s="10" t="s">
        <v>68</v>
      </c>
      <c r="C503" s="10">
        <f>Statistics!AE23</f>
        <v>0</v>
      </c>
      <c r="D503" s="10">
        <f>Statistics!AH23</f>
        <v>0</v>
      </c>
      <c r="I503" s="10" t="s">
        <v>68</v>
      </c>
      <c r="J503" s="10">
        <f>Statistics!AE23</f>
        <v>0</v>
      </c>
      <c r="K503" s="10">
        <f>Statistics!AH23</f>
        <v>0</v>
      </c>
    </row>
    <row r="504" spans="2:12">
      <c r="B504" s="10" t="s">
        <v>69</v>
      </c>
      <c r="C504" s="10">
        <f>Statistics!AG23</f>
        <v>0</v>
      </c>
      <c r="I504" s="10" t="s">
        <v>69</v>
      </c>
      <c r="J504" s="10">
        <f>Statistics!AG23</f>
        <v>0</v>
      </c>
    </row>
    <row r="505" spans="2:12">
      <c r="D505" s="10" t="s">
        <v>71</v>
      </c>
      <c r="E505" s="10"/>
      <c r="K505" s="10" t="s">
        <v>71</v>
      </c>
      <c r="L505" s="10"/>
    </row>
    <row r="506" spans="2:12">
      <c r="B506" s="10" t="s">
        <v>70</v>
      </c>
      <c r="C506" s="10"/>
      <c r="D506" s="10" t="s">
        <v>72</v>
      </c>
      <c r="E506" s="10"/>
      <c r="I506" s="10" t="s">
        <v>70</v>
      </c>
      <c r="J506" s="10"/>
      <c r="K506" s="10" t="s">
        <v>72</v>
      </c>
      <c r="L506" s="10"/>
    </row>
    <row r="518" spans="2:11">
      <c r="B518" s="10" t="s">
        <v>64</v>
      </c>
      <c r="C518" s="10">
        <f>Statistics!B24</f>
        <v>0</v>
      </c>
      <c r="D518" s="10"/>
      <c r="I518" s="10" t="s">
        <v>64</v>
      </c>
      <c r="J518" s="10">
        <f>Statistics!B24</f>
        <v>0</v>
      </c>
      <c r="K518" s="10"/>
    </row>
    <row r="519" spans="2:11">
      <c r="B519" s="10" t="s">
        <v>65</v>
      </c>
      <c r="C519" s="10">
        <f>Statistics!A24</f>
        <v>0</v>
      </c>
      <c r="I519" s="10" t="s">
        <v>65</v>
      </c>
      <c r="J519" s="10">
        <f>Statistics!A24</f>
        <v>0</v>
      </c>
    </row>
    <row r="521" spans="2:11">
      <c r="B521" s="5" t="s">
        <v>66</v>
      </c>
      <c r="C521" s="5" t="s">
        <v>67</v>
      </c>
      <c r="I521" s="5" t="s">
        <v>66</v>
      </c>
      <c r="J521" s="5" t="s">
        <v>67</v>
      </c>
    </row>
    <row r="522" spans="2:11">
      <c r="B522" s="5">
        <f>Statistics!D6</f>
        <v>0</v>
      </c>
      <c r="C522" s="5">
        <f>Statistics!T24</f>
        <v>0</v>
      </c>
      <c r="I522" s="5">
        <f>Statistics!D6</f>
        <v>0</v>
      </c>
      <c r="J522" s="5">
        <f>Statistics!T24</f>
        <v>0</v>
      </c>
    </row>
    <row r="523" spans="2:11">
      <c r="B523" s="5">
        <f>Statistics!E6</f>
        <v>0</v>
      </c>
      <c r="C523" s="5">
        <f>Statistics!U24</f>
        <v>0</v>
      </c>
      <c r="I523" s="5">
        <f>Statistics!E6</f>
        <v>0</v>
      </c>
      <c r="J523" s="5">
        <f>Statistics!U24</f>
        <v>0</v>
      </c>
    </row>
    <row r="524" spans="2:11">
      <c r="B524" s="5">
        <f>Statistics!F6</f>
        <v>0</v>
      </c>
      <c r="C524" s="5">
        <f>Statistics!V24</f>
        <v>0</v>
      </c>
      <c r="I524" s="5">
        <f>Statistics!F6</f>
        <v>0</v>
      </c>
      <c r="J524" s="5">
        <f>Statistics!V24</f>
        <v>0</v>
      </c>
    </row>
    <row r="525" spans="2:11">
      <c r="B525" s="5">
        <f>Statistics!G6</f>
        <v>0</v>
      </c>
      <c r="C525" s="5">
        <f>Statistics!W24</f>
        <v>0</v>
      </c>
      <c r="I525" s="5">
        <f>Statistics!G6</f>
        <v>0</v>
      </c>
      <c r="J525" s="5">
        <f>Statistics!W24</f>
        <v>0</v>
      </c>
    </row>
    <row r="526" spans="2:11">
      <c r="B526" s="5">
        <f>Statistics!H6</f>
        <v>0</v>
      </c>
      <c r="C526" s="5">
        <f>Statistics!X24</f>
        <v>0</v>
      </c>
      <c r="I526" s="5">
        <f>Statistics!H6</f>
        <v>0</v>
      </c>
      <c r="J526" s="5">
        <f>Statistics!X24</f>
        <v>0</v>
      </c>
    </row>
    <row r="527" spans="2:11">
      <c r="B527" s="5">
        <f>Statistics!I6</f>
        <v>0</v>
      </c>
      <c r="C527" s="5">
        <f>Statistics!Y24</f>
        <v>0</v>
      </c>
      <c r="I527" s="5">
        <f>Statistics!I6</f>
        <v>0</v>
      </c>
      <c r="J527" s="5">
        <f>Statistics!Y24</f>
        <v>0</v>
      </c>
    </row>
    <row r="528" spans="2:11">
      <c r="B528" s="5">
        <f>Statistics!J6</f>
        <v>0</v>
      </c>
      <c r="C528" s="5">
        <f>Statistics!Z24</f>
        <v>0</v>
      </c>
      <c r="I528" s="5">
        <f>Statistics!J6</f>
        <v>0</v>
      </c>
      <c r="J528" s="5">
        <f>Statistics!Z24</f>
        <v>0</v>
      </c>
    </row>
    <row r="529" spans="2:12">
      <c r="B529" s="5">
        <f>Statistics!K6</f>
        <v>0</v>
      </c>
      <c r="C529" s="5">
        <f>Statistics!AA24</f>
        <v>0</v>
      </c>
      <c r="I529" s="5">
        <f>Statistics!K6</f>
        <v>0</v>
      </c>
      <c r="J529" s="5">
        <f>Statistics!AA24</f>
        <v>0</v>
      </c>
    </row>
    <row r="530" spans="2:12">
      <c r="B530" s="5">
        <f>Statistics!L6</f>
        <v>0</v>
      </c>
      <c r="C530" s="5">
        <f>Statistics!AB24</f>
        <v>0</v>
      </c>
      <c r="I530" s="5">
        <f>Statistics!L6</f>
        <v>0</v>
      </c>
      <c r="J530" s="5">
        <f>Statistics!AB24</f>
        <v>0</v>
      </c>
    </row>
    <row r="531" spans="2:12">
      <c r="B531" s="5">
        <f>Statistics!M6</f>
        <v>0</v>
      </c>
      <c r="C531" s="5">
        <f>Statistics!AC24</f>
        <v>0</v>
      </c>
      <c r="I531" s="5">
        <f>Statistics!M6</f>
        <v>0</v>
      </c>
      <c r="J531" s="5">
        <f>Statistics!AC24</f>
        <v>0</v>
      </c>
    </row>
    <row r="532" spans="2:12">
      <c r="B532" s="5">
        <f>Statistics!N6</f>
        <v>0</v>
      </c>
      <c r="C532" s="5">
        <f>Statistics!AD24</f>
        <v>0</v>
      </c>
      <c r="I532" s="5">
        <f>Statistics!N6</f>
        <v>0</v>
      </c>
      <c r="J532" s="5">
        <f>Statistics!AD24</f>
        <v>0</v>
      </c>
    </row>
    <row r="533" spans="2:12">
      <c r="B533" s="10" t="s">
        <v>68</v>
      </c>
      <c r="C533" s="10">
        <f>Statistics!AE24</f>
        <v>0</v>
      </c>
      <c r="D533" s="10">
        <f>Statistics!AH24</f>
        <v>0</v>
      </c>
      <c r="I533" s="10" t="s">
        <v>68</v>
      </c>
      <c r="J533" s="10">
        <f>Statistics!AE24</f>
        <v>0</v>
      </c>
      <c r="K533" s="10">
        <f>Statistics!AH24</f>
        <v>0</v>
      </c>
    </row>
    <row r="534" spans="2:12">
      <c r="B534" s="10" t="s">
        <v>69</v>
      </c>
      <c r="C534" s="10">
        <f>Statistics!AG24</f>
        <v>0</v>
      </c>
      <c r="I534" s="10" t="s">
        <v>69</v>
      </c>
      <c r="J534" s="10">
        <f>Statistics!AG24</f>
        <v>0</v>
      </c>
    </row>
    <row r="535" spans="2:12">
      <c r="D535" s="10" t="s">
        <v>71</v>
      </c>
      <c r="E535" s="10"/>
      <c r="K535" s="10" t="s">
        <v>71</v>
      </c>
      <c r="L535" s="10"/>
    </row>
    <row r="536" spans="2:12">
      <c r="B536" s="10" t="s">
        <v>70</v>
      </c>
      <c r="C536" s="10"/>
      <c r="D536" s="10" t="s">
        <v>72</v>
      </c>
      <c r="E536" s="10"/>
      <c r="I536" s="10" t="s">
        <v>70</v>
      </c>
      <c r="J536" s="10"/>
      <c r="K536" s="10" t="s">
        <v>72</v>
      </c>
      <c r="L536" s="10"/>
    </row>
    <row r="548" spans="2:11">
      <c r="B548" s="10" t="s">
        <v>64</v>
      </c>
      <c r="C548" s="10">
        <f>Statistics!B25</f>
        <v>0</v>
      </c>
      <c r="D548" s="10"/>
      <c r="I548" s="10" t="s">
        <v>64</v>
      </c>
      <c r="J548" s="10">
        <f>Statistics!B25</f>
        <v>0</v>
      </c>
      <c r="K548" s="10"/>
    </row>
    <row r="549" spans="2:11">
      <c r="B549" s="10" t="s">
        <v>65</v>
      </c>
      <c r="C549" s="10">
        <f>Statistics!A25</f>
        <v>0</v>
      </c>
      <c r="I549" s="10" t="s">
        <v>65</v>
      </c>
      <c r="J549" s="10">
        <f>Statistics!A25</f>
        <v>0</v>
      </c>
    </row>
    <row r="551" spans="2:11">
      <c r="B551" s="5" t="s">
        <v>66</v>
      </c>
      <c r="C551" s="5" t="s">
        <v>67</v>
      </c>
      <c r="I551" s="5" t="s">
        <v>66</v>
      </c>
      <c r="J551" s="5" t="s">
        <v>67</v>
      </c>
    </row>
    <row r="552" spans="2:11">
      <c r="B552" s="5">
        <f>Statistics!D6</f>
        <v>0</v>
      </c>
      <c r="C552" s="5">
        <f>Statistics!T25</f>
        <v>0</v>
      </c>
      <c r="I552" s="5">
        <f>Statistics!D6</f>
        <v>0</v>
      </c>
      <c r="J552" s="5">
        <f>Statistics!T25</f>
        <v>0</v>
      </c>
    </row>
    <row r="553" spans="2:11">
      <c r="B553" s="5">
        <f>Statistics!E6</f>
        <v>0</v>
      </c>
      <c r="C553" s="5">
        <f>Statistics!U25</f>
        <v>0</v>
      </c>
      <c r="I553" s="5">
        <f>Statistics!E6</f>
        <v>0</v>
      </c>
      <c r="J553" s="5">
        <f>Statistics!U25</f>
        <v>0</v>
      </c>
    </row>
    <row r="554" spans="2:11">
      <c r="B554" s="5">
        <f>Statistics!F6</f>
        <v>0</v>
      </c>
      <c r="C554" s="5">
        <f>Statistics!V25</f>
        <v>0</v>
      </c>
      <c r="I554" s="5">
        <f>Statistics!F6</f>
        <v>0</v>
      </c>
      <c r="J554" s="5">
        <f>Statistics!V25</f>
        <v>0</v>
      </c>
    </row>
    <row r="555" spans="2:11">
      <c r="B555" s="5">
        <f>Statistics!G6</f>
        <v>0</v>
      </c>
      <c r="C555" s="5">
        <f>Statistics!W25</f>
        <v>0</v>
      </c>
      <c r="I555" s="5">
        <f>Statistics!G6</f>
        <v>0</v>
      </c>
      <c r="J555" s="5">
        <f>Statistics!W25</f>
        <v>0</v>
      </c>
    </row>
    <row r="556" spans="2:11">
      <c r="B556" s="5">
        <f>Statistics!H6</f>
        <v>0</v>
      </c>
      <c r="C556" s="5">
        <f>Statistics!X25</f>
        <v>0</v>
      </c>
      <c r="I556" s="5">
        <f>Statistics!H6</f>
        <v>0</v>
      </c>
      <c r="J556" s="5">
        <f>Statistics!X25</f>
        <v>0</v>
      </c>
    </row>
    <row r="557" spans="2:11">
      <c r="B557" s="5">
        <f>Statistics!I6</f>
        <v>0</v>
      </c>
      <c r="C557" s="5">
        <f>Statistics!Y25</f>
        <v>0</v>
      </c>
      <c r="I557" s="5">
        <f>Statistics!I6</f>
        <v>0</v>
      </c>
      <c r="J557" s="5">
        <f>Statistics!Y25</f>
        <v>0</v>
      </c>
    </row>
    <row r="558" spans="2:11">
      <c r="B558" s="5">
        <f>Statistics!J6</f>
        <v>0</v>
      </c>
      <c r="C558" s="5">
        <f>Statistics!Z25</f>
        <v>0</v>
      </c>
      <c r="I558" s="5">
        <f>Statistics!J6</f>
        <v>0</v>
      </c>
      <c r="J558" s="5">
        <f>Statistics!Z25</f>
        <v>0</v>
      </c>
    </row>
    <row r="559" spans="2:11">
      <c r="B559" s="5">
        <f>Statistics!K6</f>
        <v>0</v>
      </c>
      <c r="C559" s="5">
        <f>Statistics!AA25</f>
        <v>0</v>
      </c>
      <c r="I559" s="5">
        <f>Statistics!K6</f>
        <v>0</v>
      </c>
      <c r="J559" s="5">
        <f>Statistics!AA25</f>
        <v>0</v>
      </c>
    </row>
    <row r="560" spans="2:11">
      <c r="B560" s="5">
        <f>Statistics!L6</f>
        <v>0</v>
      </c>
      <c r="C560" s="5">
        <f>Statistics!AB25</f>
        <v>0</v>
      </c>
      <c r="I560" s="5">
        <f>Statistics!L6</f>
        <v>0</v>
      </c>
      <c r="J560" s="5">
        <f>Statistics!AB25</f>
        <v>0</v>
      </c>
    </row>
    <row r="561" spans="2:12">
      <c r="B561" s="5">
        <f>Statistics!M6</f>
        <v>0</v>
      </c>
      <c r="C561" s="5">
        <f>Statistics!AC25</f>
        <v>0</v>
      </c>
      <c r="I561" s="5">
        <f>Statistics!M6</f>
        <v>0</v>
      </c>
      <c r="J561" s="5">
        <f>Statistics!AC25</f>
        <v>0</v>
      </c>
    </row>
    <row r="562" spans="2:12">
      <c r="B562" s="5">
        <f>Statistics!N6</f>
        <v>0</v>
      </c>
      <c r="C562" s="5">
        <f>Statistics!AD25</f>
        <v>0</v>
      </c>
      <c r="I562" s="5">
        <f>Statistics!N6</f>
        <v>0</v>
      </c>
      <c r="J562" s="5">
        <f>Statistics!AD25</f>
        <v>0</v>
      </c>
    </row>
    <row r="563" spans="2:12">
      <c r="B563" s="10" t="s">
        <v>68</v>
      </c>
      <c r="C563" s="10">
        <f>Statistics!AE25</f>
        <v>0</v>
      </c>
      <c r="D563" s="10">
        <f>Statistics!AH25</f>
        <v>0</v>
      </c>
      <c r="I563" s="10" t="s">
        <v>68</v>
      </c>
      <c r="J563" s="10">
        <f>Statistics!AE25</f>
        <v>0</v>
      </c>
      <c r="K563" s="10">
        <f>Statistics!AH25</f>
        <v>0</v>
      </c>
    </row>
    <row r="564" spans="2:12">
      <c r="B564" s="10" t="s">
        <v>69</v>
      </c>
      <c r="C564" s="10">
        <f>Statistics!AG25</f>
        <v>0</v>
      </c>
      <c r="I564" s="10" t="s">
        <v>69</v>
      </c>
      <c r="J564" s="10">
        <f>Statistics!AG25</f>
        <v>0</v>
      </c>
    </row>
    <row r="565" spans="2:12">
      <c r="D565" s="10" t="s">
        <v>71</v>
      </c>
      <c r="E565" s="10"/>
      <c r="K565" s="10" t="s">
        <v>71</v>
      </c>
      <c r="L565" s="10"/>
    </row>
    <row r="566" spans="2:12">
      <c r="B566" s="10" t="s">
        <v>70</v>
      </c>
      <c r="C566" s="10"/>
      <c r="D566" s="10" t="s">
        <v>72</v>
      </c>
      <c r="E566" s="10"/>
      <c r="I566" s="10" t="s">
        <v>70</v>
      </c>
      <c r="J566" s="10"/>
      <c r="K566" s="10" t="s">
        <v>72</v>
      </c>
      <c r="L566" s="10"/>
    </row>
    <row r="578" spans="2:11">
      <c r="B578" s="10" t="s">
        <v>64</v>
      </c>
      <c r="C578" s="10">
        <f>Statistics!B26</f>
        <v>0</v>
      </c>
      <c r="D578" s="10"/>
      <c r="I578" s="10" t="s">
        <v>64</v>
      </c>
      <c r="J578" s="10">
        <f>Statistics!B26</f>
        <v>0</v>
      </c>
      <c r="K578" s="10"/>
    </row>
    <row r="579" spans="2:11">
      <c r="B579" s="10" t="s">
        <v>65</v>
      </c>
      <c r="C579" s="10">
        <f>Statistics!A26</f>
        <v>0</v>
      </c>
      <c r="I579" s="10" t="s">
        <v>65</v>
      </c>
      <c r="J579" s="10">
        <f>Statistics!A26</f>
        <v>0</v>
      </c>
    </row>
    <row r="581" spans="2:11">
      <c r="B581" s="5" t="s">
        <v>66</v>
      </c>
      <c r="C581" s="5" t="s">
        <v>67</v>
      </c>
      <c r="I581" s="5" t="s">
        <v>66</v>
      </c>
      <c r="J581" s="5" t="s">
        <v>67</v>
      </c>
    </row>
    <row r="582" spans="2:11">
      <c r="B582" s="5">
        <f>Statistics!D6</f>
        <v>0</v>
      </c>
      <c r="C582" s="5">
        <f>Statistics!T26</f>
        <v>0</v>
      </c>
      <c r="I582" s="5">
        <f>Statistics!D6</f>
        <v>0</v>
      </c>
      <c r="J582" s="5">
        <f>Statistics!T26</f>
        <v>0</v>
      </c>
    </row>
    <row r="583" spans="2:11">
      <c r="B583" s="5">
        <f>Statistics!E6</f>
        <v>0</v>
      </c>
      <c r="C583" s="5">
        <f>Statistics!U26</f>
        <v>0</v>
      </c>
      <c r="I583" s="5">
        <f>Statistics!E6</f>
        <v>0</v>
      </c>
      <c r="J583" s="5">
        <f>Statistics!U26</f>
        <v>0</v>
      </c>
    </row>
    <row r="584" spans="2:11">
      <c r="B584" s="5">
        <f>Statistics!F6</f>
        <v>0</v>
      </c>
      <c r="C584" s="5">
        <f>Statistics!V26</f>
        <v>0</v>
      </c>
      <c r="I584" s="5">
        <f>Statistics!F6</f>
        <v>0</v>
      </c>
      <c r="J584" s="5">
        <f>Statistics!V26</f>
        <v>0</v>
      </c>
    </row>
    <row r="585" spans="2:11">
      <c r="B585" s="5">
        <f>Statistics!G6</f>
        <v>0</v>
      </c>
      <c r="C585" s="5">
        <f>Statistics!W26</f>
        <v>0</v>
      </c>
      <c r="I585" s="5">
        <f>Statistics!G6</f>
        <v>0</v>
      </c>
      <c r="J585" s="5">
        <f>Statistics!W26</f>
        <v>0</v>
      </c>
    </row>
    <row r="586" spans="2:11">
      <c r="B586" s="5">
        <f>Statistics!H6</f>
        <v>0</v>
      </c>
      <c r="C586" s="5">
        <f>Statistics!X26</f>
        <v>0</v>
      </c>
      <c r="I586" s="5">
        <f>Statistics!H6</f>
        <v>0</v>
      </c>
      <c r="J586" s="5">
        <f>Statistics!X26</f>
        <v>0</v>
      </c>
    </row>
    <row r="587" spans="2:11">
      <c r="B587" s="5">
        <f>Statistics!I6</f>
        <v>0</v>
      </c>
      <c r="C587" s="5">
        <f>Statistics!Y26</f>
        <v>0</v>
      </c>
      <c r="I587" s="5">
        <f>Statistics!I6</f>
        <v>0</v>
      </c>
      <c r="J587" s="5">
        <f>Statistics!Y26</f>
        <v>0</v>
      </c>
    </row>
    <row r="588" spans="2:11">
      <c r="B588" s="5">
        <f>Statistics!J6</f>
        <v>0</v>
      </c>
      <c r="C588" s="5">
        <f>Statistics!Z26</f>
        <v>0</v>
      </c>
      <c r="I588" s="5">
        <f>Statistics!J6</f>
        <v>0</v>
      </c>
      <c r="J588" s="5">
        <f>Statistics!Z26</f>
        <v>0</v>
      </c>
    </row>
    <row r="589" spans="2:11">
      <c r="B589" s="5">
        <f>Statistics!K6</f>
        <v>0</v>
      </c>
      <c r="C589" s="5">
        <f>Statistics!AA26</f>
        <v>0</v>
      </c>
      <c r="I589" s="5">
        <f>Statistics!K6</f>
        <v>0</v>
      </c>
      <c r="J589" s="5">
        <f>Statistics!AA26</f>
        <v>0</v>
      </c>
    </row>
    <row r="590" spans="2:11">
      <c r="B590" s="5">
        <f>Statistics!L6</f>
        <v>0</v>
      </c>
      <c r="C590" s="5">
        <f>Statistics!AB26</f>
        <v>0</v>
      </c>
      <c r="I590" s="5">
        <f>Statistics!L6</f>
        <v>0</v>
      </c>
      <c r="J590" s="5">
        <f>Statistics!AB26</f>
        <v>0</v>
      </c>
    </row>
    <row r="591" spans="2:11">
      <c r="B591" s="5">
        <f>Statistics!M6</f>
        <v>0</v>
      </c>
      <c r="C591" s="5">
        <f>Statistics!AC26</f>
        <v>0</v>
      </c>
      <c r="I591" s="5">
        <f>Statistics!M6</f>
        <v>0</v>
      </c>
      <c r="J591" s="5">
        <f>Statistics!AC26</f>
        <v>0</v>
      </c>
    </row>
    <row r="592" spans="2:11">
      <c r="B592" s="5">
        <f>Statistics!N6</f>
        <v>0</v>
      </c>
      <c r="C592" s="5">
        <f>Statistics!AD26</f>
        <v>0</v>
      </c>
      <c r="I592" s="5">
        <f>Statistics!N6</f>
        <v>0</v>
      </c>
      <c r="J592" s="5">
        <f>Statistics!AD26</f>
        <v>0</v>
      </c>
    </row>
    <row r="593" spans="2:12">
      <c r="B593" s="10" t="s">
        <v>68</v>
      </c>
      <c r="C593" s="10">
        <f>Statistics!AE26</f>
        <v>0</v>
      </c>
      <c r="D593" s="10">
        <f>Statistics!AH26</f>
        <v>0</v>
      </c>
      <c r="I593" s="10" t="s">
        <v>68</v>
      </c>
      <c r="J593" s="10">
        <f>Statistics!AE26</f>
        <v>0</v>
      </c>
      <c r="K593" s="10">
        <f>Statistics!AH26</f>
        <v>0</v>
      </c>
    </row>
    <row r="594" spans="2:12">
      <c r="B594" s="10" t="s">
        <v>69</v>
      </c>
      <c r="C594" s="10">
        <f>Statistics!AG26</f>
        <v>0</v>
      </c>
      <c r="I594" s="10" t="s">
        <v>69</v>
      </c>
      <c r="J594" s="10">
        <f>Statistics!AG26</f>
        <v>0</v>
      </c>
    </row>
    <row r="595" spans="2:12">
      <c r="D595" s="10" t="s">
        <v>71</v>
      </c>
      <c r="E595" s="10"/>
      <c r="K595" s="10" t="s">
        <v>71</v>
      </c>
      <c r="L595" s="10"/>
    </row>
    <row r="596" spans="2:12">
      <c r="B596" s="10" t="s">
        <v>70</v>
      </c>
      <c r="C596" s="10"/>
      <c r="D596" s="10" t="s">
        <v>72</v>
      </c>
      <c r="E596" s="10"/>
      <c r="I596" s="10" t="s">
        <v>70</v>
      </c>
      <c r="J596" s="10"/>
      <c r="K596" s="10" t="s">
        <v>72</v>
      </c>
      <c r="L596" s="10"/>
    </row>
    <row r="608" spans="2:12">
      <c r="B608" s="10" t="s">
        <v>64</v>
      </c>
      <c r="C608" s="10">
        <f>Statistics!B27</f>
        <v>0</v>
      </c>
      <c r="D608" s="10"/>
      <c r="I608" s="10" t="s">
        <v>64</v>
      </c>
      <c r="J608" s="10">
        <f>Statistics!B27</f>
        <v>0</v>
      </c>
      <c r="K608" s="10"/>
    </row>
    <row r="609" spans="2:11">
      <c r="B609" s="10" t="s">
        <v>65</v>
      </c>
      <c r="C609" s="10">
        <f>Statistics!A27</f>
        <v>0</v>
      </c>
      <c r="I609" s="10" t="s">
        <v>65</v>
      </c>
      <c r="J609" s="10">
        <f>Statistics!A27</f>
        <v>0</v>
      </c>
    </row>
    <row r="611" spans="2:11">
      <c r="B611" s="5" t="s">
        <v>66</v>
      </c>
      <c r="C611" s="5" t="s">
        <v>67</v>
      </c>
      <c r="I611" s="5" t="s">
        <v>66</v>
      </c>
      <c r="J611" s="5" t="s">
        <v>67</v>
      </c>
    </row>
    <row r="612" spans="2:11">
      <c r="B612" s="5">
        <f>Statistics!D6</f>
        <v>0</v>
      </c>
      <c r="C612" s="5">
        <f>Statistics!T27</f>
        <v>0</v>
      </c>
      <c r="I612" s="5">
        <f>Statistics!D6</f>
        <v>0</v>
      </c>
      <c r="J612" s="5">
        <f>Statistics!T27</f>
        <v>0</v>
      </c>
    </row>
    <row r="613" spans="2:11">
      <c r="B613" s="5">
        <f>Statistics!E6</f>
        <v>0</v>
      </c>
      <c r="C613" s="5">
        <f>Statistics!U27</f>
        <v>0</v>
      </c>
      <c r="I613" s="5">
        <f>Statistics!E6</f>
        <v>0</v>
      </c>
      <c r="J613" s="5">
        <f>Statistics!U27</f>
        <v>0</v>
      </c>
    </row>
    <row r="614" spans="2:11">
      <c r="B614" s="5">
        <f>Statistics!F6</f>
        <v>0</v>
      </c>
      <c r="C614" s="5">
        <f>Statistics!V27</f>
        <v>0</v>
      </c>
      <c r="I614" s="5">
        <f>Statistics!F6</f>
        <v>0</v>
      </c>
      <c r="J614" s="5">
        <f>Statistics!V27</f>
        <v>0</v>
      </c>
    </row>
    <row r="615" spans="2:11">
      <c r="B615" s="5">
        <f>Statistics!G6</f>
        <v>0</v>
      </c>
      <c r="C615" s="5">
        <f>Statistics!W27</f>
        <v>0</v>
      </c>
      <c r="I615" s="5">
        <f>Statistics!G6</f>
        <v>0</v>
      </c>
      <c r="J615" s="5">
        <f>Statistics!W27</f>
        <v>0</v>
      </c>
    </row>
    <row r="616" spans="2:11">
      <c r="B616" s="5">
        <f>Statistics!H6</f>
        <v>0</v>
      </c>
      <c r="C616" s="5">
        <f>Statistics!X27</f>
        <v>0</v>
      </c>
      <c r="I616" s="5">
        <f>Statistics!H6</f>
        <v>0</v>
      </c>
      <c r="J616" s="5">
        <f>Statistics!X27</f>
        <v>0</v>
      </c>
    </row>
    <row r="617" spans="2:11">
      <c r="B617" s="5">
        <f>Statistics!I6</f>
        <v>0</v>
      </c>
      <c r="C617" s="5">
        <f>Statistics!Y27</f>
        <v>0</v>
      </c>
      <c r="I617" s="5">
        <f>Statistics!I6</f>
        <v>0</v>
      </c>
      <c r="J617" s="5">
        <f>Statistics!Y27</f>
        <v>0</v>
      </c>
    </row>
    <row r="618" spans="2:11">
      <c r="B618" s="5">
        <f>Statistics!J6</f>
        <v>0</v>
      </c>
      <c r="C618" s="5">
        <f>Statistics!Z27</f>
        <v>0</v>
      </c>
      <c r="I618" s="5">
        <f>Statistics!J6</f>
        <v>0</v>
      </c>
      <c r="J618" s="5">
        <f>Statistics!Z27</f>
        <v>0</v>
      </c>
    </row>
    <row r="619" spans="2:11">
      <c r="B619" s="5">
        <f>Statistics!K6</f>
        <v>0</v>
      </c>
      <c r="C619" s="5">
        <f>Statistics!AA27</f>
        <v>0</v>
      </c>
      <c r="I619" s="5">
        <f>Statistics!K6</f>
        <v>0</v>
      </c>
      <c r="J619" s="5">
        <f>Statistics!AA27</f>
        <v>0</v>
      </c>
    </row>
    <row r="620" spans="2:11">
      <c r="B620" s="5">
        <f>Statistics!L6</f>
        <v>0</v>
      </c>
      <c r="C620" s="5">
        <f>Statistics!AB27</f>
        <v>0</v>
      </c>
      <c r="I620" s="5">
        <f>Statistics!L6</f>
        <v>0</v>
      </c>
      <c r="J620" s="5">
        <f>Statistics!AB27</f>
        <v>0</v>
      </c>
    </row>
    <row r="621" spans="2:11">
      <c r="B621" s="5">
        <f>Statistics!M6</f>
        <v>0</v>
      </c>
      <c r="C621" s="5">
        <f>Statistics!AC27</f>
        <v>0</v>
      </c>
      <c r="I621" s="5">
        <f>Statistics!M6</f>
        <v>0</v>
      </c>
      <c r="J621" s="5">
        <f>Statistics!AC27</f>
        <v>0</v>
      </c>
    </row>
    <row r="622" spans="2:11">
      <c r="B622" s="5">
        <f>Statistics!N6</f>
        <v>0</v>
      </c>
      <c r="C622" s="5">
        <f>Statistics!AD27</f>
        <v>0</v>
      </c>
      <c r="I622" s="5">
        <f>Statistics!N6</f>
        <v>0</v>
      </c>
      <c r="J622" s="5">
        <f>Statistics!AD27</f>
        <v>0</v>
      </c>
    </row>
    <row r="623" spans="2:11">
      <c r="B623" s="10" t="s">
        <v>68</v>
      </c>
      <c r="C623" s="10">
        <f>Statistics!AE27</f>
        <v>0</v>
      </c>
      <c r="D623" s="10">
        <f>Statistics!AH27</f>
        <v>0</v>
      </c>
      <c r="I623" s="10" t="s">
        <v>68</v>
      </c>
      <c r="J623" s="10">
        <f>Statistics!AE27</f>
        <v>0</v>
      </c>
      <c r="K623" s="10">
        <f>Statistics!AH27</f>
        <v>0</v>
      </c>
    </row>
    <row r="624" spans="2:11">
      <c r="B624" s="10" t="s">
        <v>69</v>
      </c>
      <c r="C624" s="10">
        <f>Statistics!AG27</f>
        <v>0</v>
      </c>
      <c r="I624" s="10" t="s">
        <v>69</v>
      </c>
      <c r="J624" s="10">
        <f>Statistics!AG27</f>
        <v>0</v>
      </c>
    </row>
    <row r="625" spans="2:12">
      <c r="D625" s="10" t="s">
        <v>71</v>
      </c>
      <c r="E625" s="10"/>
      <c r="K625" s="10" t="s">
        <v>71</v>
      </c>
      <c r="L625" s="10"/>
    </row>
    <row r="626" spans="2:12">
      <c r="B626" s="10" t="s">
        <v>70</v>
      </c>
      <c r="C626" s="10"/>
      <c r="D626" s="10" t="s">
        <v>72</v>
      </c>
      <c r="E626" s="10"/>
      <c r="I626" s="10" t="s">
        <v>70</v>
      </c>
      <c r="J626" s="10"/>
      <c r="K626" s="10" t="s">
        <v>72</v>
      </c>
      <c r="L626" s="10"/>
    </row>
    <row r="638" spans="2:12">
      <c r="B638" s="10" t="s">
        <v>64</v>
      </c>
      <c r="C638" s="10">
        <f>Statistics!B28</f>
        <v>0</v>
      </c>
      <c r="D638" s="10"/>
      <c r="I638" s="10" t="s">
        <v>64</v>
      </c>
      <c r="J638" s="10">
        <f>Statistics!B28</f>
        <v>0</v>
      </c>
      <c r="K638" s="10"/>
    </row>
    <row r="639" spans="2:12">
      <c r="B639" s="10" t="s">
        <v>65</v>
      </c>
      <c r="C639" s="10">
        <f>Statistics!A28</f>
        <v>0</v>
      </c>
      <c r="I639" s="10" t="s">
        <v>65</v>
      </c>
      <c r="J639" s="10">
        <f>Statistics!A28</f>
        <v>0</v>
      </c>
    </row>
    <row r="641" spans="2:12">
      <c r="B641" s="5" t="s">
        <v>66</v>
      </c>
      <c r="C641" s="5" t="s">
        <v>67</v>
      </c>
      <c r="I641" s="5" t="s">
        <v>66</v>
      </c>
      <c r="J641" s="5" t="s">
        <v>67</v>
      </c>
    </row>
    <row r="642" spans="2:12">
      <c r="B642" s="5">
        <f>Statistics!D6</f>
        <v>0</v>
      </c>
      <c r="C642" s="5">
        <f>Statistics!T28</f>
        <v>0</v>
      </c>
      <c r="I642" s="5">
        <f>Statistics!D6</f>
        <v>0</v>
      </c>
      <c r="J642" s="5">
        <f>Statistics!T28</f>
        <v>0</v>
      </c>
    </row>
    <row r="643" spans="2:12">
      <c r="B643" s="5">
        <f>Statistics!E6</f>
        <v>0</v>
      </c>
      <c r="C643" s="5">
        <f>Statistics!U28</f>
        <v>0</v>
      </c>
      <c r="I643" s="5">
        <f>Statistics!E6</f>
        <v>0</v>
      </c>
      <c r="J643" s="5">
        <f>Statistics!U28</f>
        <v>0</v>
      </c>
    </row>
    <row r="644" spans="2:12">
      <c r="B644" s="5">
        <f>Statistics!F6</f>
        <v>0</v>
      </c>
      <c r="C644" s="5">
        <f>Statistics!V28</f>
        <v>0</v>
      </c>
      <c r="I644" s="5">
        <f>Statistics!F6</f>
        <v>0</v>
      </c>
      <c r="J644" s="5">
        <f>Statistics!V28</f>
        <v>0</v>
      </c>
    </row>
    <row r="645" spans="2:12">
      <c r="B645" s="5">
        <f>Statistics!G6</f>
        <v>0</v>
      </c>
      <c r="C645" s="5">
        <f>Statistics!W28</f>
        <v>0</v>
      </c>
      <c r="I645" s="5">
        <f>Statistics!G6</f>
        <v>0</v>
      </c>
      <c r="J645" s="5">
        <f>Statistics!W28</f>
        <v>0</v>
      </c>
    </row>
    <row r="646" spans="2:12">
      <c r="B646" s="5">
        <f>Statistics!H6</f>
        <v>0</v>
      </c>
      <c r="C646" s="5">
        <f>Statistics!X28</f>
        <v>0</v>
      </c>
      <c r="I646" s="5">
        <f>Statistics!H6</f>
        <v>0</v>
      </c>
      <c r="J646" s="5">
        <f>Statistics!X28</f>
        <v>0</v>
      </c>
    </row>
    <row r="647" spans="2:12">
      <c r="B647" s="5">
        <f>Statistics!I6</f>
        <v>0</v>
      </c>
      <c r="C647" s="5">
        <f>Statistics!Y28</f>
        <v>0</v>
      </c>
      <c r="I647" s="5">
        <f>Statistics!I6</f>
        <v>0</v>
      </c>
      <c r="J647" s="5">
        <f>Statistics!Y28</f>
        <v>0</v>
      </c>
    </row>
    <row r="648" spans="2:12">
      <c r="B648" s="5">
        <f>Statistics!J6</f>
        <v>0</v>
      </c>
      <c r="C648" s="5">
        <f>Statistics!Z28</f>
        <v>0</v>
      </c>
      <c r="I648" s="5">
        <f>Statistics!J6</f>
        <v>0</v>
      </c>
      <c r="J648" s="5">
        <f>Statistics!Z28</f>
        <v>0</v>
      </c>
    </row>
    <row r="649" spans="2:12">
      <c r="B649" s="5">
        <f>Statistics!K6</f>
        <v>0</v>
      </c>
      <c r="C649" s="5">
        <f>Statistics!AA28</f>
        <v>0</v>
      </c>
      <c r="I649" s="5">
        <f>Statistics!K6</f>
        <v>0</v>
      </c>
      <c r="J649" s="5">
        <f>Statistics!AA28</f>
        <v>0</v>
      </c>
    </row>
    <row r="650" spans="2:12">
      <c r="B650" s="5">
        <f>Statistics!L6</f>
        <v>0</v>
      </c>
      <c r="C650" s="5">
        <f>Statistics!AB28</f>
        <v>0</v>
      </c>
      <c r="I650" s="5">
        <f>Statistics!L6</f>
        <v>0</v>
      </c>
      <c r="J650" s="5">
        <f>Statistics!AB28</f>
        <v>0</v>
      </c>
    </row>
    <row r="651" spans="2:12">
      <c r="B651" s="5">
        <f>Statistics!M6</f>
        <v>0</v>
      </c>
      <c r="C651" s="5">
        <f>Statistics!AC28</f>
        <v>0</v>
      </c>
      <c r="I651" s="5">
        <f>Statistics!M6</f>
        <v>0</v>
      </c>
      <c r="J651" s="5">
        <f>Statistics!AC28</f>
        <v>0</v>
      </c>
    </row>
    <row r="652" spans="2:12">
      <c r="B652" s="5">
        <f>Statistics!N6</f>
        <v>0</v>
      </c>
      <c r="C652" s="5">
        <f>Statistics!AD28</f>
        <v>0</v>
      </c>
      <c r="I652" s="5">
        <f>Statistics!N6</f>
        <v>0</v>
      </c>
      <c r="J652" s="5">
        <f>Statistics!AD28</f>
        <v>0</v>
      </c>
    </row>
    <row r="653" spans="2:12">
      <c r="B653" s="10" t="s">
        <v>68</v>
      </c>
      <c r="C653" s="10">
        <f>Statistics!AE28</f>
        <v>0</v>
      </c>
      <c r="D653" s="10">
        <f>Statistics!AH28</f>
        <v>0</v>
      </c>
      <c r="I653" s="10" t="s">
        <v>68</v>
      </c>
      <c r="J653" s="10">
        <f>Statistics!AE28</f>
        <v>0</v>
      </c>
      <c r="K653" s="10">
        <f>Statistics!AH28</f>
        <v>0</v>
      </c>
    </row>
    <row r="654" spans="2:12">
      <c r="B654" s="10" t="s">
        <v>69</v>
      </c>
      <c r="C654" s="10">
        <f>Statistics!AG28</f>
        <v>0</v>
      </c>
      <c r="I654" s="10" t="s">
        <v>69</v>
      </c>
      <c r="J654" s="10">
        <f>Statistics!AG28</f>
        <v>0</v>
      </c>
    </row>
    <row r="655" spans="2:12">
      <c r="D655" s="10" t="s">
        <v>71</v>
      </c>
      <c r="E655" s="10"/>
      <c r="K655" s="10" t="s">
        <v>71</v>
      </c>
      <c r="L655" s="10"/>
    </row>
    <row r="656" spans="2:12">
      <c r="B656" s="10" t="s">
        <v>70</v>
      </c>
      <c r="C656" s="10"/>
      <c r="D656" s="10" t="s">
        <v>72</v>
      </c>
      <c r="E656" s="10"/>
      <c r="I656" s="10" t="s">
        <v>70</v>
      </c>
      <c r="J656" s="10"/>
      <c r="K656" s="10" t="s">
        <v>72</v>
      </c>
      <c r="L656" s="10"/>
    </row>
    <row r="668" spans="2:11">
      <c r="B668" s="10" t="s">
        <v>64</v>
      </c>
      <c r="C668" s="10">
        <f>Statistics!B29</f>
        <v>0</v>
      </c>
      <c r="D668" s="10"/>
      <c r="I668" s="10" t="s">
        <v>64</v>
      </c>
      <c r="J668" s="10">
        <f>Statistics!B29</f>
        <v>0</v>
      </c>
      <c r="K668" s="10"/>
    </row>
    <row r="669" spans="2:11">
      <c r="B669" s="10" t="s">
        <v>65</v>
      </c>
      <c r="C669" s="10">
        <f>Statistics!A29</f>
        <v>0</v>
      </c>
      <c r="I669" s="10" t="s">
        <v>65</v>
      </c>
      <c r="J669" s="10">
        <f>Statistics!A29</f>
        <v>0</v>
      </c>
    </row>
    <row r="671" spans="2:11">
      <c r="B671" s="5" t="s">
        <v>66</v>
      </c>
      <c r="C671" s="5" t="s">
        <v>67</v>
      </c>
      <c r="I671" s="5" t="s">
        <v>66</v>
      </c>
      <c r="J671" s="5" t="s">
        <v>67</v>
      </c>
    </row>
    <row r="672" spans="2:11">
      <c r="B672" s="5">
        <f>Statistics!D6</f>
        <v>0</v>
      </c>
      <c r="C672" s="5">
        <f>Statistics!T29</f>
        <v>0</v>
      </c>
      <c r="I672" s="5">
        <f>Statistics!D6</f>
        <v>0</v>
      </c>
      <c r="J672" s="5">
        <f>Statistics!T29</f>
        <v>0</v>
      </c>
    </row>
    <row r="673" spans="2:12">
      <c r="B673" s="5">
        <f>Statistics!E6</f>
        <v>0</v>
      </c>
      <c r="C673" s="5">
        <f>Statistics!U29</f>
        <v>0</v>
      </c>
      <c r="I673" s="5">
        <f>Statistics!E6</f>
        <v>0</v>
      </c>
      <c r="J673" s="5">
        <f>Statistics!U29</f>
        <v>0</v>
      </c>
    </row>
    <row r="674" spans="2:12">
      <c r="B674" s="5">
        <f>Statistics!F6</f>
        <v>0</v>
      </c>
      <c r="C674" s="5">
        <f>Statistics!V29</f>
        <v>0</v>
      </c>
      <c r="I674" s="5">
        <f>Statistics!F6</f>
        <v>0</v>
      </c>
      <c r="J674" s="5">
        <f>Statistics!V29</f>
        <v>0</v>
      </c>
    </row>
    <row r="675" spans="2:12">
      <c r="B675" s="5">
        <f>Statistics!G6</f>
        <v>0</v>
      </c>
      <c r="C675" s="5">
        <f>Statistics!W29</f>
        <v>0</v>
      </c>
      <c r="I675" s="5">
        <f>Statistics!G6</f>
        <v>0</v>
      </c>
      <c r="J675" s="5">
        <f>Statistics!W29</f>
        <v>0</v>
      </c>
    </row>
    <row r="676" spans="2:12">
      <c r="B676" s="5">
        <f>Statistics!H6</f>
        <v>0</v>
      </c>
      <c r="C676" s="5">
        <f>Statistics!X29</f>
        <v>0</v>
      </c>
      <c r="I676" s="5">
        <f>Statistics!H6</f>
        <v>0</v>
      </c>
      <c r="J676" s="5">
        <f>Statistics!X29</f>
        <v>0</v>
      </c>
    </row>
    <row r="677" spans="2:12">
      <c r="B677" s="5">
        <f>Statistics!I6</f>
        <v>0</v>
      </c>
      <c r="C677" s="5">
        <f>Statistics!Y29</f>
        <v>0</v>
      </c>
      <c r="I677" s="5">
        <f>Statistics!I6</f>
        <v>0</v>
      </c>
      <c r="J677" s="5">
        <f>Statistics!Y29</f>
        <v>0</v>
      </c>
    </row>
    <row r="678" spans="2:12">
      <c r="B678" s="5">
        <f>Statistics!J6</f>
        <v>0</v>
      </c>
      <c r="C678" s="5">
        <f>Statistics!Z29</f>
        <v>0</v>
      </c>
      <c r="I678" s="5">
        <f>Statistics!J6</f>
        <v>0</v>
      </c>
      <c r="J678" s="5">
        <f>Statistics!Z29</f>
        <v>0</v>
      </c>
    </row>
    <row r="679" spans="2:12">
      <c r="B679" s="5">
        <f>Statistics!K6</f>
        <v>0</v>
      </c>
      <c r="C679" s="5">
        <f>Statistics!AA29</f>
        <v>0</v>
      </c>
      <c r="I679" s="5">
        <f>Statistics!K6</f>
        <v>0</v>
      </c>
      <c r="J679" s="5">
        <f>Statistics!AA29</f>
        <v>0</v>
      </c>
    </row>
    <row r="680" spans="2:12">
      <c r="B680" s="5">
        <f>Statistics!L6</f>
        <v>0</v>
      </c>
      <c r="C680" s="5">
        <f>Statistics!AB29</f>
        <v>0</v>
      </c>
      <c r="I680" s="5">
        <f>Statistics!L6</f>
        <v>0</v>
      </c>
      <c r="J680" s="5">
        <f>Statistics!AB29</f>
        <v>0</v>
      </c>
    </row>
    <row r="681" spans="2:12">
      <c r="B681" s="5">
        <f>Statistics!M6</f>
        <v>0</v>
      </c>
      <c r="C681" s="5">
        <f>Statistics!AC29</f>
        <v>0</v>
      </c>
      <c r="I681" s="5">
        <f>Statistics!M6</f>
        <v>0</v>
      </c>
      <c r="J681" s="5">
        <f>Statistics!AC29</f>
        <v>0</v>
      </c>
    </row>
    <row r="682" spans="2:12">
      <c r="B682" s="5">
        <f>Statistics!N6</f>
        <v>0</v>
      </c>
      <c r="C682" s="5">
        <f>Statistics!AD29</f>
        <v>0</v>
      </c>
      <c r="I682" s="5">
        <f>Statistics!N6</f>
        <v>0</v>
      </c>
      <c r="J682" s="5">
        <f>Statistics!AD29</f>
        <v>0</v>
      </c>
    </row>
    <row r="683" spans="2:12">
      <c r="B683" s="10" t="s">
        <v>68</v>
      </c>
      <c r="C683" s="10">
        <f>Statistics!AE29</f>
        <v>0</v>
      </c>
      <c r="D683" s="10">
        <f>Statistics!AH29</f>
        <v>0</v>
      </c>
      <c r="I683" s="10" t="s">
        <v>68</v>
      </c>
      <c r="J683" s="10">
        <f>Statistics!AE29</f>
        <v>0</v>
      </c>
      <c r="K683" s="10">
        <f>Statistics!AH29</f>
        <v>0</v>
      </c>
    </row>
    <row r="684" spans="2:12">
      <c r="B684" s="10" t="s">
        <v>69</v>
      </c>
      <c r="C684" s="10">
        <f>Statistics!AG29</f>
        <v>0</v>
      </c>
      <c r="I684" s="10" t="s">
        <v>69</v>
      </c>
      <c r="J684" s="10">
        <f>Statistics!AG29</f>
        <v>0</v>
      </c>
    </row>
    <row r="685" spans="2:12">
      <c r="D685" s="10" t="s">
        <v>71</v>
      </c>
      <c r="E685" s="10"/>
      <c r="K685" s="10" t="s">
        <v>71</v>
      </c>
      <c r="L685" s="10"/>
    </row>
    <row r="686" spans="2:12">
      <c r="B686" s="10" t="s">
        <v>70</v>
      </c>
      <c r="C686" s="10"/>
      <c r="D686" s="10" t="s">
        <v>72</v>
      </c>
      <c r="E686" s="10"/>
      <c r="I686" s="10" t="s">
        <v>70</v>
      </c>
      <c r="J686" s="10"/>
      <c r="K686" s="10" t="s">
        <v>72</v>
      </c>
      <c r="L686" s="10"/>
    </row>
    <row r="698" spans="2:11">
      <c r="B698" s="10" t="s">
        <v>64</v>
      </c>
      <c r="C698" s="10">
        <f>Statistics!B30</f>
        <v>0</v>
      </c>
      <c r="D698" s="10"/>
      <c r="I698" s="10" t="s">
        <v>64</v>
      </c>
      <c r="J698" s="10">
        <f>Statistics!B30</f>
        <v>0</v>
      </c>
      <c r="K698" s="10"/>
    </row>
    <row r="699" spans="2:11">
      <c r="B699" s="10" t="s">
        <v>65</v>
      </c>
      <c r="C699" s="10">
        <f>Statistics!A30</f>
        <v>0</v>
      </c>
      <c r="I699" s="10" t="s">
        <v>65</v>
      </c>
      <c r="J699" s="10">
        <f>Statistics!A30</f>
        <v>0</v>
      </c>
    </row>
    <row r="701" spans="2:11">
      <c r="B701" s="5" t="s">
        <v>66</v>
      </c>
      <c r="C701" s="5" t="s">
        <v>67</v>
      </c>
      <c r="I701" s="5" t="s">
        <v>66</v>
      </c>
      <c r="J701" s="5" t="s">
        <v>67</v>
      </c>
    </row>
    <row r="702" spans="2:11">
      <c r="B702" s="5">
        <f>Statistics!D6</f>
        <v>0</v>
      </c>
      <c r="C702" s="5">
        <f>Statistics!T30</f>
        <v>0</v>
      </c>
      <c r="I702" s="5">
        <f>Statistics!D6</f>
        <v>0</v>
      </c>
      <c r="J702" s="5">
        <f>Statistics!T30</f>
        <v>0</v>
      </c>
    </row>
    <row r="703" spans="2:11">
      <c r="B703" s="5">
        <f>Statistics!E6</f>
        <v>0</v>
      </c>
      <c r="C703" s="5">
        <f>Statistics!U30</f>
        <v>0</v>
      </c>
      <c r="I703" s="5">
        <f>Statistics!E6</f>
        <v>0</v>
      </c>
      <c r="J703" s="5">
        <f>Statistics!U30</f>
        <v>0</v>
      </c>
    </row>
    <row r="704" spans="2:11">
      <c r="B704" s="5">
        <f>Statistics!F6</f>
        <v>0</v>
      </c>
      <c r="C704" s="5">
        <f>Statistics!V30</f>
        <v>0</v>
      </c>
      <c r="I704" s="5">
        <f>Statistics!F6</f>
        <v>0</v>
      </c>
      <c r="J704" s="5">
        <f>Statistics!V30</f>
        <v>0</v>
      </c>
    </row>
    <row r="705" spans="2:12">
      <c r="B705" s="5">
        <f>Statistics!G6</f>
        <v>0</v>
      </c>
      <c r="C705" s="5">
        <f>Statistics!W30</f>
        <v>0</v>
      </c>
      <c r="I705" s="5">
        <f>Statistics!G6</f>
        <v>0</v>
      </c>
      <c r="J705" s="5">
        <f>Statistics!W30</f>
        <v>0</v>
      </c>
    </row>
    <row r="706" spans="2:12">
      <c r="B706" s="5">
        <f>Statistics!H6</f>
        <v>0</v>
      </c>
      <c r="C706" s="5">
        <f>Statistics!X30</f>
        <v>0</v>
      </c>
      <c r="I706" s="5">
        <f>Statistics!H6</f>
        <v>0</v>
      </c>
      <c r="J706" s="5">
        <f>Statistics!X30</f>
        <v>0</v>
      </c>
    </row>
    <row r="707" spans="2:12">
      <c r="B707" s="5">
        <f>Statistics!I6</f>
        <v>0</v>
      </c>
      <c r="C707" s="5">
        <f>Statistics!Y30</f>
        <v>0</v>
      </c>
      <c r="I707" s="5">
        <f>Statistics!I6</f>
        <v>0</v>
      </c>
      <c r="J707" s="5">
        <f>Statistics!Y30</f>
        <v>0</v>
      </c>
    </row>
    <row r="708" spans="2:12">
      <c r="B708" s="5">
        <f>Statistics!J6</f>
        <v>0</v>
      </c>
      <c r="C708" s="5">
        <f>Statistics!Z30</f>
        <v>0</v>
      </c>
      <c r="I708" s="5">
        <f>Statistics!J6</f>
        <v>0</v>
      </c>
      <c r="J708" s="5">
        <f>Statistics!Z30</f>
        <v>0</v>
      </c>
    </row>
    <row r="709" spans="2:12">
      <c r="B709" s="5">
        <f>Statistics!K6</f>
        <v>0</v>
      </c>
      <c r="C709" s="5">
        <f>Statistics!AA30</f>
        <v>0</v>
      </c>
      <c r="I709" s="5">
        <f>Statistics!K6</f>
        <v>0</v>
      </c>
      <c r="J709" s="5">
        <f>Statistics!AA30</f>
        <v>0</v>
      </c>
    </row>
    <row r="710" spans="2:12">
      <c r="B710" s="5">
        <f>Statistics!L6</f>
        <v>0</v>
      </c>
      <c r="C710" s="5">
        <f>Statistics!AB30</f>
        <v>0</v>
      </c>
      <c r="I710" s="5">
        <f>Statistics!L6</f>
        <v>0</v>
      </c>
      <c r="J710" s="5">
        <f>Statistics!AB30</f>
        <v>0</v>
      </c>
    </row>
    <row r="711" spans="2:12">
      <c r="B711" s="5">
        <f>Statistics!M6</f>
        <v>0</v>
      </c>
      <c r="C711" s="5">
        <f>Statistics!AC30</f>
        <v>0</v>
      </c>
      <c r="I711" s="5">
        <f>Statistics!M6</f>
        <v>0</v>
      </c>
      <c r="J711" s="5">
        <f>Statistics!AC30</f>
        <v>0</v>
      </c>
    </row>
    <row r="712" spans="2:12">
      <c r="B712" s="5">
        <f>Statistics!N6</f>
        <v>0</v>
      </c>
      <c r="C712" s="5">
        <f>Statistics!AD30</f>
        <v>0</v>
      </c>
      <c r="I712" s="5">
        <f>Statistics!N6</f>
        <v>0</v>
      </c>
      <c r="J712" s="5">
        <f>Statistics!AD30</f>
        <v>0</v>
      </c>
    </row>
    <row r="713" spans="2:12">
      <c r="B713" s="10" t="s">
        <v>68</v>
      </c>
      <c r="C713" s="10">
        <f>Statistics!AE30</f>
        <v>0</v>
      </c>
      <c r="D713" s="10">
        <f>Statistics!AH30</f>
        <v>0</v>
      </c>
      <c r="I713" s="10" t="s">
        <v>68</v>
      </c>
      <c r="J713" s="10">
        <f>Statistics!AE30</f>
        <v>0</v>
      </c>
      <c r="K713" s="10">
        <f>Statistics!AH30</f>
        <v>0</v>
      </c>
    </row>
    <row r="714" spans="2:12">
      <c r="B714" s="10" t="s">
        <v>69</v>
      </c>
      <c r="C714" s="10">
        <f>Statistics!AG30</f>
        <v>0</v>
      </c>
      <c r="I714" s="10" t="s">
        <v>69</v>
      </c>
      <c r="J714" s="10">
        <f>Statistics!AG30</f>
        <v>0</v>
      </c>
    </row>
    <row r="715" spans="2:12">
      <c r="D715" s="10" t="s">
        <v>71</v>
      </c>
      <c r="E715" s="10"/>
      <c r="K715" s="10" t="s">
        <v>71</v>
      </c>
      <c r="L715" s="10"/>
    </row>
    <row r="716" spans="2:12">
      <c r="B716" s="10" t="s">
        <v>70</v>
      </c>
      <c r="C716" s="10"/>
      <c r="D716" s="10" t="s">
        <v>72</v>
      </c>
      <c r="E716" s="10"/>
      <c r="I716" s="10" t="s">
        <v>70</v>
      </c>
      <c r="J716" s="10"/>
      <c r="K716" s="10" t="s">
        <v>72</v>
      </c>
      <c r="L716" s="10"/>
    </row>
    <row r="728" spans="2:11">
      <c r="B728" s="10" t="s">
        <v>64</v>
      </c>
      <c r="C728" s="10">
        <f>Statistics!B31</f>
        <v>0</v>
      </c>
      <c r="D728" s="10"/>
      <c r="I728" s="10" t="s">
        <v>64</v>
      </c>
      <c r="J728" s="10">
        <f>Statistics!B31</f>
        <v>0</v>
      </c>
      <c r="K728" s="10"/>
    </row>
    <row r="729" spans="2:11">
      <c r="B729" s="10" t="s">
        <v>65</v>
      </c>
      <c r="C729" s="10">
        <f>Statistics!A31</f>
        <v>0</v>
      </c>
      <c r="I729" s="10" t="s">
        <v>65</v>
      </c>
      <c r="J729" s="10">
        <f>Statistics!A31</f>
        <v>0</v>
      </c>
    </row>
    <row r="731" spans="2:11">
      <c r="B731" s="5" t="s">
        <v>66</v>
      </c>
      <c r="C731" s="5" t="s">
        <v>67</v>
      </c>
      <c r="I731" s="5" t="s">
        <v>66</v>
      </c>
      <c r="J731" s="5" t="s">
        <v>67</v>
      </c>
    </row>
    <row r="732" spans="2:11">
      <c r="B732" s="5">
        <f>Statistics!D6</f>
        <v>0</v>
      </c>
      <c r="C732" s="5">
        <f>Statistics!T31</f>
        <v>0</v>
      </c>
      <c r="I732" s="5">
        <f>Statistics!D6</f>
        <v>0</v>
      </c>
      <c r="J732" s="5">
        <f>Statistics!T31</f>
        <v>0</v>
      </c>
    </row>
    <row r="733" spans="2:11">
      <c r="B733" s="5">
        <f>Statistics!E6</f>
        <v>0</v>
      </c>
      <c r="C733" s="5">
        <f>Statistics!U31</f>
        <v>0</v>
      </c>
      <c r="I733" s="5">
        <f>Statistics!E6</f>
        <v>0</v>
      </c>
      <c r="J733" s="5">
        <f>Statistics!U31</f>
        <v>0</v>
      </c>
    </row>
    <row r="734" spans="2:11">
      <c r="B734" s="5">
        <f>Statistics!F6</f>
        <v>0</v>
      </c>
      <c r="C734" s="5">
        <f>Statistics!V31</f>
        <v>0</v>
      </c>
      <c r="I734" s="5">
        <f>Statistics!F6</f>
        <v>0</v>
      </c>
      <c r="J734" s="5">
        <f>Statistics!V31</f>
        <v>0</v>
      </c>
    </row>
    <row r="735" spans="2:11">
      <c r="B735" s="5">
        <f>Statistics!G6</f>
        <v>0</v>
      </c>
      <c r="C735" s="5">
        <f>Statistics!W31</f>
        <v>0</v>
      </c>
      <c r="I735" s="5">
        <f>Statistics!G6</f>
        <v>0</v>
      </c>
      <c r="J735" s="5">
        <f>Statistics!W31</f>
        <v>0</v>
      </c>
    </row>
    <row r="736" spans="2:11">
      <c r="B736" s="5">
        <f>Statistics!H6</f>
        <v>0</v>
      </c>
      <c r="C736" s="5">
        <f>Statistics!X31</f>
        <v>0</v>
      </c>
      <c r="I736" s="5">
        <f>Statistics!H6</f>
        <v>0</v>
      </c>
      <c r="J736" s="5">
        <f>Statistics!X31</f>
        <v>0</v>
      </c>
    </row>
    <row r="737" spans="2:12">
      <c r="B737" s="5">
        <f>Statistics!I6</f>
        <v>0</v>
      </c>
      <c r="C737" s="5">
        <f>Statistics!Y31</f>
        <v>0</v>
      </c>
      <c r="I737" s="5">
        <f>Statistics!I6</f>
        <v>0</v>
      </c>
      <c r="J737" s="5">
        <f>Statistics!Y31</f>
        <v>0</v>
      </c>
    </row>
    <row r="738" spans="2:12">
      <c r="B738" s="5">
        <f>Statistics!J6</f>
        <v>0</v>
      </c>
      <c r="C738" s="5">
        <f>Statistics!Z31</f>
        <v>0</v>
      </c>
      <c r="I738" s="5">
        <f>Statistics!J6</f>
        <v>0</v>
      </c>
      <c r="J738" s="5">
        <f>Statistics!Z31</f>
        <v>0</v>
      </c>
    </row>
    <row r="739" spans="2:12">
      <c r="B739" s="5">
        <f>Statistics!K6</f>
        <v>0</v>
      </c>
      <c r="C739" s="5">
        <f>Statistics!AA31</f>
        <v>0</v>
      </c>
      <c r="I739" s="5">
        <f>Statistics!K6</f>
        <v>0</v>
      </c>
      <c r="J739" s="5">
        <f>Statistics!AA31</f>
        <v>0</v>
      </c>
    </row>
    <row r="740" spans="2:12">
      <c r="B740" s="5">
        <f>Statistics!L6</f>
        <v>0</v>
      </c>
      <c r="C740" s="5">
        <f>Statistics!AB31</f>
        <v>0</v>
      </c>
      <c r="I740" s="5">
        <f>Statistics!L6</f>
        <v>0</v>
      </c>
      <c r="J740" s="5">
        <f>Statistics!AB31</f>
        <v>0</v>
      </c>
    </row>
    <row r="741" spans="2:12">
      <c r="B741" s="5">
        <f>Statistics!M6</f>
        <v>0</v>
      </c>
      <c r="C741" s="5">
        <f>Statistics!AC31</f>
        <v>0</v>
      </c>
      <c r="I741" s="5">
        <f>Statistics!M6</f>
        <v>0</v>
      </c>
      <c r="J741" s="5">
        <f>Statistics!AC31</f>
        <v>0</v>
      </c>
    </row>
    <row r="742" spans="2:12">
      <c r="B742" s="5">
        <f>Statistics!N6</f>
        <v>0</v>
      </c>
      <c r="C742" s="5">
        <f>Statistics!AD31</f>
        <v>0</v>
      </c>
      <c r="I742" s="5">
        <f>Statistics!N6</f>
        <v>0</v>
      </c>
      <c r="J742" s="5">
        <f>Statistics!AD31</f>
        <v>0</v>
      </c>
    </row>
    <row r="743" spans="2:12">
      <c r="B743" s="10" t="s">
        <v>68</v>
      </c>
      <c r="C743" s="10">
        <f>Statistics!AE31</f>
        <v>0</v>
      </c>
      <c r="D743" s="10">
        <f>Statistics!AH31</f>
        <v>0</v>
      </c>
      <c r="I743" s="10" t="s">
        <v>68</v>
      </c>
      <c r="J743" s="10">
        <f>Statistics!AE31</f>
        <v>0</v>
      </c>
      <c r="K743" s="10">
        <f>Statistics!AH31</f>
        <v>0</v>
      </c>
    </row>
    <row r="744" spans="2:12">
      <c r="B744" s="10" t="s">
        <v>69</v>
      </c>
      <c r="C744" s="10">
        <f>Statistics!AG31</f>
        <v>0</v>
      </c>
      <c r="I744" s="10" t="s">
        <v>69</v>
      </c>
      <c r="J744" s="10">
        <f>Statistics!AG31</f>
        <v>0</v>
      </c>
    </row>
    <row r="745" spans="2:12">
      <c r="D745" s="10" t="s">
        <v>71</v>
      </c>
      <c r="E745" s="10"/>
      <c r="K745" s="10" t="s">
        <v>71</v>
      </c>
      <c r="L745" s="10"/>
    </row>
    <row r="746" spans="2:12">
      <c r="B746" s="10" t="s">
        <v>70</v>
      </c>
      <c r="C746" s="10"/>
      <c r="D746" s="10" t="s">
        <v>72</v>
      </c>
      <c r="E746" s="10"/>
      <c r="I746" s="10" t="s">
        <v>70</v>
      </c>
      <c r="J746" s="10"/>
      <c r="K746" s="10" t="s">
        <v>72</v>
      </c>
      <c r="L746" s="10"/>
    </row>
    <row r="758" spans="2:11">
      <c r="B758" s="10" t="s">
        <v>64</v>
      </c>
      <c r="C758" s="10">
        <f>Statistics!B32</f>
        <v>0</v>
      </c>
      <c r="D758" s="10"/>
      <c r="I758" s="10" t="s">
        <v>64</v>
      </c>
      <c r="J758" s="10">
        <f>Statistics!B32</f>
        <v>0</v>
      </c>
      <c r="K758" s="10"/>
    </row>
    <row r="759" spans="2:11">
      <c r="B759" s="10" t="s">
        <v>65</v>
      </c>
      <c r="C759" s="10">
        <f>Statistics!A32</f>
        <v>0</v>
      </c>
      <c r="I759" s="10" t="s">
        <v>65</v>
      </c>
      <c r="J759" s="10">
        <f>Statistics!A32</f>
        <v>0</v>
      </c>
    </row>
    <row r="761" spans="2:11">
      <c r="B761" s="5" t="s">
        <v>66</v>
      </c>
      <c r="C761" s="5" t="s">
        <v>67</v>
      </c>
      <c r="I761" s="5" t="s">
        <v>66</v>
      </c>
      <c r="J761" s="5" t="s">
        <v>67</v>
      </c>
    </row>
    <row r="762" spans="2:11">
      <c r="B762" s="5">
        <f>Statistics!D6</f>
        <v>0</v>
      </c>
      <c r="C762" s="5">
        <f>Statistics!T32</f>
        <v>0</v>
      </c>
      <c r="I762" s="5">
        <f>Statistics!D6</f>
        <v>0</v>
      </c>
      <c r="J762" s="5">
        <f>Statistics!T32</f>
        <v>0</v>
      </c>
    </row>
    <row r="763" spans="2:11">
      <c r="B763" s="5">
        <f>Statistics!E6</f>
        <v>0</v>
      </c>
      <c r="C763" s="5">
        <f>Statistics!U32</f>
        <v>0</v>
      </c>
      <c r="I763" s="5">
        <f>Statistics!E6</f>
        <v>0</v>
      </c>
      <c r="J763" s="5">
        <f>Statistics!U32</f>
        <v>0</v>
      </c>
    </row>
    <row r="764" spans="2:11">
      <c r="B764" s="5">
        <f>Statistics!F6</f>
        <v>0</v>
      </c>
      <c r="C764" s="5">
        <f>Statistics!V32</f>
        <v>0</v>
      </c>
      <c r="I764" s="5">
        <f>Statistics!F6</f>
        <v>0</v>
      </c>
      <c r="J764" s="5">
        <f>Statistics!V32</f>
        <v>0</v>
      </c>
    </row>
    <row r="765" spans="2:11">
      <c r="B765" s="5">
        <f>Statistics!G6</f>
        <v>0</v>
      </c>
      <c r="C765" s="5">
        <f>Statistics!W32</f>
        <v>0</v>
      </c>
      <c r="I765" s="5">
        <f>Statistics!G6</f>
        <v>0</v>
      </c>
      <c r="J765" s="5">
        <f>Statistics!W32</f>
        <v>0</v>
      </c>
    </row>
    <row r="766" spans="2:11">
      <c r="B766" s="5">
        <f>Statistics!H6</f>
        <v>0</v>
      </c>
      <c r="C766" s="5">
        <f>Statistics!X32</f>
        <v>0</v>
      </c>
      <c r="I766" s="5">
        <f>Statistics!H6</f>
        <v>0</v>
      </c>
      <c r="J766" s="5">
        <f>Statistics!X32</f>
        <v>0</v>
      </c>
    </row>
    <row r="767" spans="2:11">
      <c r="B767" s="5">
        <f>Statistics!I6</f>
        <v>0</v>
      </c>
      <c r="C767" s="5">
        <f>Statistics!Y32</f>
        <v>0</v>
      </c>
      <c r="I767" s="5">
        <f>Statistics!I6</f>
        <v>0</v>
      </c>
      <c r="J767" s="5">
        <f>Statistics!Y32</f>
        <v>0</v>
      </c>
    </row>
    <row r="768" spans="2:11">
      <c r="B768" s="5">
        <f>Statistics!J6</f>
        <v>0</v>
      </c>
      <c r="C768" s="5">
        <f>Statistics!Z32</f>
        <v>0</v>
      </c>
      <c r="I768" s="5">
        <f>Statistics!J6</f>
        <v>0</v>
      </c>
      <c r="J768" s="5">
        <f>Statistics!Z32</f>
        <v>0</v>
      </c>
    </row>
    <row r="769" spans="2:12">
      <c r="B769" s="5">
        <f>Statistics!K6</f>
        <v>0</v>
      </c>
      <c r="C769" s="5">
        <f>Statistics!AA32</f>
        <v>0</v>
      </c>
      <c r="I769" s="5">
        <f>Statistics!K6</f>
        <v>0</v>
      </c>
      <c r="J769" s="5">
        <f>Statistics!AA32</f>
        <v>0</v>
      </c>
    </row>
    <row r="770" spans="2:12">
      <c r="B770" s="5">
        <f>Statistics!L6</f>
        <v>0</v>
      </c>
      <c r="C770" s="5">
        <f>Statistics!AB32</f>
        <v>0</v>
      </c>
      <c r="I770" s="5">
        <f>Statistics!L6</f>
        <v>0</v>
      </c>
      <c r="J770" s="5">
        <f>Statistics!AB32</f>
        <v>0</v>
      </c>
    </row>
    <row r="771" spans="2:12">
      <c r="B771" s="5">
        <f>Statistics!M6</f>
        <v>0</v>
      </c>
      <c r="C771" s="5">
        <f>Statistics!AC32</f>
        <v>0</v>
      </c>
      <c r="I771" s="5">
        <f>Statistics!M6</f>
        <v>0</v>
      </c>
      <c r="J771" s="5">
        <f>Statistics!AC32</f>
        <v>0</v>
      </c>
    </row>
    <row r="772" spans="2:12">
      <c r="B772" s="5">
        <f>Statistics!N6</f>
        <v>0</v>
      </c>
      <c r="C772" s="5">
        <f>Statistics!AD32</f>
        <v>0</v>
      </c>
      <c r="I772" s="5">
        <f>Statistics!N6</f>
        <v>0</v>
      </c>
      <c r="J772" s="5">
        <f>Statistics!AD32</f>
        <v>0</v>
      </c>
    </row>
    <row r="773" spans="2:12">
      <c r="B773" s="10" t="s">
        <v>68</v>
      </c>
      <c r="C773" s="10">
        <f>Statistics!AE32</f>
        <v>0</v>
      </c>
      <c r="D773" s="10">
        <f>Statistics!AH32</f>
        <v>0</v>
      </c>
      <c r="I773" s="10" t="s">
        <v>68</v>
      </c>
      <c r="J773" s="10">
        <f>Statistics!AE32</f>
        <v>0</v>
      </c>
      <c r="K773" s="10">
        <f>Statistics!AH32</f>
        <v>0</v>
      </c>
    </row>
    <row r="774" spans="2:12">
      <c r="B774" s="10" t="s">
        <v>69</v>
      </c>
      <c r="C774" s="10">
        <f>Statistics!AG32</f>
        <v>0</v>
      </c>
      <c r="I774" s="10" t="s">
        <v>69</v>
      </c>
      <c r="J774" s="10">
        <f>Statistics!AG32</f>
        <v>0</v>
      </c>
    </row>
    <row r="775" spans="2:12">
      <c r="D775" s="10" t="s">
        <v>71</v>
      </c>
      <c r="E775" s="10"/>
      <c r="K775" s="10" t="s">
        <v>71</v>
      </c>
      <c r="L775" s="10"/>
    </row>
    <row r="776" spans="2:12">
      <c r="B776" s="10" t="s">
        <v>70</v>
      </c>
      <c r="C776" s="10"/>
      <c r="D776" s="10" t="s">
        <v>72</v>
      </c>
      <c r="E776" s="10"/>
      <c r="I776" s="10" t="s">
        <v>70</v>
      </c>
      <c r="J776" s="10"/>
      <c r="K776" s="10" t="s">
        <v>72</v>
      </c>
      <c r="L776" s="10"/>
    </row>
    <row r="788" spans="2:11">
      <c r="B788" s="10" t="s">
        <v>64</v>
      </c>
      <c r="C788" s="10">
        <f>Statistics!B33</f>
        <v>0</v>
      </c>
      <c r="D788" s="10"/>
      <c r="I788" s="10" t="s">
        <v>64</v>
      </c>
      <c r="J788" s="10">
        <f>Statistics!B33</f>
        <v>0</v>
      </c>
      <c r="K788" s="10"/>
    </row>
    <row r="789" spans="2:11">
      <c r="B789" s="10" t="s">
        <v>65</v>
      </c>
      <c r="C789" s="10">
        <f>Statistics!A33</f>
        <v>0</v>
      </c>
      <c r="I789" s="10" t="s">
        <v>65</v>
      </c>
      <c r="J789" s="10">
        <f>Statistics!A33</f>
        <v>0</v>
      </c>
    </row>
    <row r="791" spans="2:11">
      <c r="B791" s="5" t="s">
        <v>66</v>
      </c>
      <c r="C791" s="5" t="s">
        <v>67</v>
      </c>
      <c r="I791" s="5" t="s">
        <v>66</v>
      </c>
      <c r="J791" s="5" t="s">
        <v>67</v>
      </c>
    </row>
    <row r="792" spans="2:11">
      <c r="B792" s="5">
        <f>Statistics!D6</f>
        <v>0</v>
      </c>
      <c r="C792" s="5">
        <f>Statistics!T33</f>
        <v>0</v>
      </c>
      <c r="I792" s="5">
        <f>Statistics!D6</f>
        <v>0</v>
      </c>
      <c r="J792" s="5">
        <f>Statistics!T33</f>
        <v>0</v>
      </c>
    </row>
    <row r="793" spans="2:11">
      <c r="B793" s="5">
        <f>Statistics!E6</f>
        <v>0</v>
      </c>
      <c r="C793" s="5">
        <f>Statistics!U33</f>
        <v>0</v>
      </c>
      <c r="I793" s="5">
        <f>Statistics!E6</f>
        <v>0</v>
      </c>
      <c r="J793" s="5">
        <f>Statistics!U33</f>
        <v>0</v>
      </c>
    </row>
    <row r="794" spans="2:11">
      <c r="B794" s="5">
        <f>Statistics!F6</f>
        <v>0</v>
      </c>
      <c r="C794" s="5">
        <f>Statistics!V33</f>
        <v>0</v>
      </c>
      <c r="I794" s="5">
        <f>Statistics!F6</f>
        <v>0</v>
      </c>
      <c r="J794" s="5">
        <f>Statistics!V33</f>
        <v>0</v>
      </c>
    </row>
    <row r="795" spans="2:11">
      <c r="B795" s="5">
        <f>Statistics!G6</f>
        <v>0</v>
      </c>
      <c r="C795" s="5">
        <f>Statistics!W33</f>
        <v>0</v>
      </c>
      <c r="I795" s="5">
        <f>Statistics!G6</f>
        <v>0</v>
      </c>
      <c r="J795" s="5">
        <f>Statistics!W33</f>
        <v>0</v>
      </c>
    </row>
    <row r="796" spans="2:11">
      <c r="B796" s="5">
        <f>Statistics!H6</f>
        <v>0</v>
      </c>
      <c r="C796" s="5">
        <f>Statistics!X33</f>
        <v>0</v>
      </c>
      <c r="I796" s="5">
        <f>Statistics!H6</f>
        <v>0</v>
      </c>
      <c r="J796" s="5">
        <f>Statistics!X33</f>
        <v>0</v>
      </c>
    </row>
    <row r="797" spans="2:11">
      <c r="B797" s="5">
        <f>Statistics!I6</f>
        <v>0</v>
      </c>
      <c r="C797" s="5">
        <f>Statistics!Y33</f>
        <v>0</v>
      </c>
      <c r="I797" s="5">
        <f>Statistics!I6</f>
        <v>0</v>
      </c>
      <c r="J797" s="5">
        <f>Statistics!Y33</f>
        <v>0</v>
      </c>
    </row>
    <row r="798" spans="2:11">
      <c r="B798" s="5">
        <f>Statistics!J6</f>
        <v>0</v>
      </c>
      <c r="C798" s="5">
        <f>Statistics!Z33</f>
        <v>0</v>
      </c>
      <c r="I798" s="5">
        <f>Statistics!J6</f>
        <v>0</v>
      </c>
      <c r="J798" s="5">
        <f>Statistics!Z33</f>
        <v>0</v>
      </c>
    </row>
    <row r="799" spans="2:11">
      <c r="B799" s="5">
        <f>Statistics!K6</f>
        <v>0</v>
      </c>
      <c r="C799" s="5">
        <f>Statistics!AA33</f>
        <v>0</v>
      </c>
      <c r="I799" s="5">
        <f>Statistics!K6</f>
        <v>0</v>
      </c>
      <c r="J799" s="5">
        <f>Statistics!AA33</f>
        <v>0</v>
      </c>
    </row>
    <row r="800" spans="2:11">
      <c r="B800" s="5">
        <f>Statistics!L6</f>
        <v>0</v>
      </c>
      <c r="C800" s="5">
        <f>Statistics!AB33</f>
        <v>0</v>
      </c>
      <c r="I800" s="5">
        <f>Statistics!L6</f>
        <v>0</v>
      </c>
      <c r="J800" s="5">
        <f>Statistics!AB33</f>
        <v>0</v>
      </c>
    </row>
    <row r="801" spans="2:12">
      <c r="B801" s="5">
        <f>Statistics!M6</f>
        <v>0</v>
      </c>
      <c r="C801" s="5">
        <f>Statistics!AC33</f>
        <v>0</v>
      </c>
      <c r="I801" s="5">
        <f>Statistics!M6</f>
        <v>0</v>
      </c>
      <c r="J801" s="5">
        <f>Statistics!AC33</f>
        <v>0</v>
      </c>
    </row>
    <row r="802" spans="2:12">
      <c r="B802" s="5">
        <f>Statistics!N6</f>
        <v>0</v>
      </c>
      <c r="C802" s="5">
        <f>Statistics!AD33</f>
        <v>0</v>
      </c>
      <c r="I802" s="5">
        <f>Statistics!N6</f>
        <v>0</v>
      </c>
      <c r="J802" s="5">
        <f>Statistics!AD33</f>
        <v>0</v>
      </c>
    </row>
    <row r="803" spans="2:12">
      <c r="B803" s="10" t="s">
        <v>68</v>
      </c>
      <c r="C803" s="10">
        <f>Statistics!AE33</f>
        <v>0</v>
      </c>
      <c r="D803" s="10">
        <f>Statistics!AH33</f>
        <v>0</v>
      </c>
      <c r="I803" s="10" t="s">
        <v>68</v>
      </c>
      <c r="J803" s="10">
        <f>Statistics!AE33</f>
        <v>0</v>
      </c>
      <c r="K803" s="10">
        <f>Statistics!AH33</f>
        <v>0</v>
      </c>
    </row>
    <row r="804" spans="2:12">
      <c r="B804" s="10" t="s">
        <v>69</v>
      </c>
      <c r="C804" s="10">
        <f>Statistics!AG33</f>
        <v>0</v>
      </c>
      <c r="I804" s="10" t="s">
        <v>69</v>
      </c>
      <c r="J804" s="10">
        <f>Statistics!AG33</f>
        <v>0</v>
      </c>
    </row>
    <row r="805" spans="2:12">
      <c r="D805" s="10" t="s">
        <v>71</v>
      </c>
      <c r="E805" s="10"/>
      <c r="K805" s="10" t="s">
        <v>71</v>
      </c>
      <c r="L805" s="10"/>
    </row>
    <row r="806" spans="2:12">
      <c r="B806" s="10" t="s">
        <v>70</v>
      </c>
      <c r="C806" s="10"/>
      <c r="D806" s="10" t="s">
        <v>72</v>
      </c>
      <c r="E806" s="10"/>
      <c r="I806" s="10" t="s">
        <v>70</v>
      </c>
      <c r="J806" s="10"/>
      <c r="K806" s="10" t="s">
        <v>72</v>
      </c>
      <c r="L806" s="10"/>
    </row>
    <row r="818" spans="2:11">
      <c r="B818" s="10" t="s">
        <v>64</v>
      </c>
      <c r="C818" s="10">
        <f>Statistics!B34</f>
        <v>0</v>
      </c>
      <c r="D818" s="10"/>
      <c r="I818" s="10" t="s">
        <v>64</v>
      </c>
      <c r="J818" s="10">
        <f>Statistics!B34</f>
        <v>0</v>
      </c>
      <c r="K818" s="10"/>
    </row>
    <row r="819" spans="2:11">
      <c r="B819" s="10" t="s">
        <v>65</v>
      </c>
      <c r="C819" s="10">
        <f>Statistics!A34</f>
        <v>0</v>
      </c>
      <c r="I819" s="10" t="s">
        <v>65</v>
      </c>
      <c r="J819" s="10">
        <f>Statistics!A34</f>
        <v>0</v>
      </c>
    </row>
    <row r="821" spans="2:11">
      <c r="B821" s="5" t="s">
        <v>66</v>
      </c>
      <c r="C821" s="5" t="s">
        <v>67</v>
      </c>
      <c r="I821" s="5" t="s">
        <v>66</v>
      </c>
      <c r="J821" s="5" t="s">
        <v>67</v>
      </c>
    </row>
    <row r="822" spans="2:11">
      <c r="B822" s="5">
        <f>Statistics!D6</f>
        <v>0</v>
      </c>
      <c r="C822" s="5">
        <f>Statistics!T34</f>
        <v>0</v>
      </c>
      <c r="I822" s="5">
        <f>Statistics!D6</f>
        <v>0</v>
      </c>
      <c r="J822" s="5">
        <f>Statistics!T34</f>
        <v>0</v>
      </c>
    </row>
    <row r="823" spans="2:11">
      <c r="B823" s="5">
        <f>Statistics!E6</f>
        <v>0</v>
      </c>
      <c r="C823" s="5">
        <f>Statistics!U34</f>
        <v>0</v>
      </c>
      <c r="I823" s="5">
        <f>Statistics!E6</f>
        <v>0</v>
      </c>
      <c r="J823" s="5">
        <f>Statistics!U34</f>
        <v>0</v>
      </c>
    </row>
    <row r="824" spans="2:11">
      <c r="B824" s="5">
        <f>Statistics!F6</f>
        <v>0</v>
      </c>
      <c r="C824" s="5">
        <f>Statistics!V34</f>
        <v>0</v>
      </c>
      <c r="I824" s="5">
        <f>Statistics!F6</f>
        <v>0</v>
      </c>
      <c r="J824" s="5">
        <f>Statistics!V34</f>
        <v>0</v>
      </c>
    </row>
    <row r="825" spans="2:11">
      <c r="B825" s="5">
        <f>Statistics!G6</f>
        <v>0</v>
      </c>
      <c r="C825" s="5">
        <f>Statistics!W34</f>
        <v>0</v>
      </c>
      <c r="I825" s="5">
        <f>Statistics!G6</f>
        <v>0</v>
      </c>
      <c r="J825" s="5">
        <f>Statistics!W34</f>
        <v>0</v>
      </c>
    </row>
    <row r="826" spans="2:11">
      <c r="B826" s="5">
        <f>Statistics!H6</f>
        <v>0</v>
      </c>
      <c r="C826" s="5">
        <f>Statistics!X34</f>
        <v>0</v>
      </c>
      <c r="I826" s="5">
        <f>Statistics!H6</f>
        <v>0</v>
      </c>
      <c r="J826" s="5">
        <f>Statistics!X34</f>
        <v>0</v>
      </c>
    </row>
    <row r="827" spans="2:11">
      <c r="B827" s="5">
        <f>Statistics!I6</f>
        <v>0</v>
      </c>
      <c r="C827" s="5">
        <f>Statistics!Y34</f>
        <v>0</v>
      </c>
      <c r="I827" s="5">
        <f>Statistics!I6</f>
        <v>0</v>
      </c>
      <c r="J827" s="5">
        <f>Statistics!Y34</f>
        <v>0</v>
      </c>
    </row>
    <row r="828" spans="2:11">
      <c r="B828" s="5">
        <f>Statistics!J6</f>
        <v>0</v>
      </c>
      <c r="C828" s="5">
        <f>Statistics!Z34</f>
        <v>0</v>
      </c>
      <c r="I828" s="5">
        <f>Statistics!J6</f>
        <v>0</v>
      </c>
      <c r="J828" s="5">
        <f>Statistics!Z34</f>
        <v>0</v>
      </c>
    </row>
    <row r="829" spans="2:11">
      <c r="B829" s="5">
        <f>Statistics!K6</f>
        <v>0</v>
      </c>
      <c r="C829" s="5">
        <f>Statistics!AA34</f>
        <v>0</v>
      </c>
      <c r="I829" s="5">
        <f>Statistics!K6</f>
        <v>0</v>
      </c>
      <c r="J829" s="5">
        <f>Statistics!AA34</f>
        <v>0</v>
      </c>
    </row>
    <row r="830" spans="2:11">
      <c r="B830" s="5">
        <f>Statistics!L6</f>
        <v>0</v>
      </c>
      <c r="C830" s="5">
        <f>Statistics!AB34</f>
        <v>0</v>
      </c>
      <c r="I830" s="5">
        <f>Statistics!L6</f>
        <v>0</v>
      </c>
      <c r="J830" s="5">
        <f>Statistics!AB34</f>
        <v>0</v>
      </c>
    </row>
    <row r="831" spans="2:11">
      <c r="B831" s="5">
        <f>Statistics!M6</f>
        <v>0</v>
      </c>
      <c r="C831" s="5">
        <f>Statistics!AC34</f>
        <v>0</v>
      </c>
      <c r="I831" s="5">
        <f>Statistics!M6</f>
        <v>0</v>
      </c>
      <c r="J831" s="5">
        <f>Statistics!AC34</f>
        <v>0</v>
      </c>
    </row>
    <row r="832" spans="2:11">
      <c r="B832" s="5">
        <f>Statistics!N6</f>
        <v>0</v>
      </c>
      <c r="C832" s="5">
        <f>Statistics!AD34</f>
        <v>0</v>
      </c>
      <c r="I832" s="5">
        <f>Statistics!N6</f>
        <v>0</v>
      </c>
      <c r="J832" s="5">
        <f>Statistics!AD34</f>
        <v>0</v>
      </c>
    </row>
    <row r="833" spans="2:12">
      <c r="B833" s="10" t="s">
        <v>68</v>
      </c>
      <c r="C833" s="10">
        <f>Statistics!AE34</f>
        <v>0</v>
      </c>
      <c r="D833" s="10">
        <f>Statistics!AH34</f>
        <v>0</v>
      </c>
      <c r="I833" s="10" t="s">
        <v>68</v>
      </c>
      <c r="J833" s="10">
        <f>Statistics!AE34</f>
        <v>0</v>
      </c>
      <c r="K833" s="10">
        <f>Statistics!AH34</f>
        <v>0</v>
      </c>
    </row>
    <row r="834" spans="2:12">
      <c r="B834" s="10" t="s">
        <v>69</v>
      </c>
      <c r="C834" s="10">
        <f>Statistics!AG34</f>
        <v>0</v>
      </c>
      <c r="I834" s="10" t="s">
        <v>69</v>
      </c>
      <c r="J834" s="10">
        <f>Statistics!AG34</f>
        <v>0</v>
      </c>
    </row>
    <row r="835" spans="2:12">
      <c r="D835" s="10" t="s">
        <v>71</v>
      </c>
      <c r="E835" s="10"/>
      <c r="K835" s="10" t="s">
        <v>71</v>
      </c>
      <c r="L835" s="10"/>
    </row>
    <row r="836" spans="2:12">
      <c r="B836" s="10" t="s">
        <v>70</v>
      </c>
      <c r="C836" s="10"/>
      <c r="D836" s="10" t="s">
        <v>72</v>
      </c>
      <c r="E836" s="10"/>
      <c r="I836" s="10" t="s">
        <v>70</v>
      </c>
      <c r="J836" s="10"/>
      <c r="K836" s="10" t="s">
        <v>72</v>
      </c>
      <c r="L836" s="10"/>
    </row>
    <row r="848" spans="2:12">
      <c r="B848" s="10" t="s">
        <v>64</v>
      </c>
      <c r="C848" s="10">
        <f>Statistics!B35</f>
        <v>0</v>
      </c>
      <c r="D848" s="10"/>
      <c r="I848" s="10" t="s">
        <v>64</v>
      </c>
      <c r="J848" s="10">
        <f>Statistics!B35</f>
        <v>0</v>
      </c>
      <c r="K848" s="10"/>
    </row>
    <row r="849" spans="2:11">
      <c r="B849" s="10" t="s">
        <v>65</v>
      </c>
      <c r="C849" s="10">
        <f>Statistics!A35</f>
        <v>0</v>
      </c>
      <c r="I849" s="10" t="s">
        <v>65</v>
      </c>
      <c r="J849" s="10">
        <f>Statistics!A35</f>
        <v>0</v>
      </c>
    </row>
    <row r="851" spans="2:11">
      <c r="B851" s="5" t="s">
        <v>66</v>
      </c>
      <c r="C851" s="5" t="s">
        <v>67</v>
      </c>
      <c r="I851" s="5" t="s">
        <v>66</v>
      </c>
      <c r="J851" s="5" t="s">
        <v>67</v>
      </c>
    </row>
    <row r="852" spans="2:11">
      <c r="B852" s="5">
        <f>Statistics!D6</f>
        <v>0</v>
      </c>
      <c r="C852" s="5">
        <f>Statistics!T35</f>
        <v>0</v>
      </c>
      <c r="I852" s="5">
        <f>Statistics!D6</f>
        <v>0</v>
      </c>
      <c r="J852" s="5">
        <f>Statistics!T35</f>
        <v>0</v>
      </c>
    </row>
    <row r="853" spans="2:11">
      <c r="B853" s="5">
        <f>Statistics!E6</f>
        <v>0</v>
      </c>
      <c r="C853" s="5">
        <f>Statistics!U35</f>
        <v>0</v>
      </c>
      <c r="I853" s="5">
        <f>Statistics!E6</f>
        <v>0</v>
      </c>
      <c r="J853" s="5">
        <f>Statistics!U35</f>
        <v>0</v>
      </c>
    </row>
    <row r="854" spans="2:11">
      <c r="B854" s="5">
        <f>Statistics!F6</f>
        <v>0</v>
      </c>
      <c r="C854" s="5">
        <f>Statistics!V35</f>
        <v>0</v>
      </c>
      <c r="I854" s="5">
        <f>Statistics!F6</f>
        <v>0</v>
      </c>
      <c r="J854" s="5">
        <f>Statistics!V35</f>
        <v>0</v>
      </c>
    </row>
    <row r="855" spans="2:11">
      <c r="B855" s="5">
        <f>Statistics!G6</f>
        <v>0</v>
      </c>
      <c r="C855" s="5">
        <f>Statistics!W35</f>
        <v>0</v>
      </c>
      <c r="I855" s="5">
        <f>Statistics!G6</f>
        <v>0</v>
      </c>
      <c r="J855" s="5">
        <f>Statistics!W35</f>
        <v>0</v>
      </c>
    </row>
    <row r="856" spans="2:11">
      <c r="B856" s="5">
        <f>Statistics!H6</f>
        <v>0</v>
      </c>
      <c r="C856" s="5">
        <f>Statistics!X35</f>
        <v>0</v>
      </c>
      <c r="I856" s="5">
        <f>Statistics!H6</f>
        <v>0</v>
      </c>
      <c r="J856" s="5">
        <f>Statistics!X35</f>
        <v>0</v>
      </c>
    </row>
    <row r="857" spans="2:11">
      <c r="B857" s="5">
        <f>Statistics!I6</f>
        <v>0</v>
      </c>
      <c r="C857" s="5">
        <f>Statistics!Y35</f>
        <v>0</v>
      </c>
      <c r="I857" s="5">
        <f>Statistics!I6</f>
        <v>0</v>
      </c>
      <c r="J857" s="5">
        <f>Statistics!Y35</f>
        <v>0</v>
      </c>
    </row>
    <row r="858" spans="2:11">
      <c r="B858" s="5">
        <f>Statistics!J6</f>
        <v>0</v>
      </c>
      <c r="C858" s="5">
        <f>Statistics!Z35</f>
        <v>0</v>
      </c>
      <c r="I858" s="5">
        <f>Statistics!J6</f>
        <v>0</v>
      </c>
      <c r="J858" s="5">
        <f>Statistics!Z35</f>
        <v>0</v>
      </c>
    </row>
    <row r="859" spans="2:11">
      <c r="B859" s="5">
        <f>Statistics!K6</f>
        <v>0</v>
      </c>
      <c r="C859" s="5">
        <f>Statistics!AA35</f>
        <v>0</v>
      </c>
      <c r="I859" s="5">
        <f>Statistics!K6</f>
        <v>0</v>
      </c>
      <c r="J859" s="5">
        <f>Statistics!AA35</f>
        <v>0</v>
      </c>
    </row>
    <row r="860" spans="2:11">
      <c r="B860" s="5">
        <f>Statistics!L6</f>
        <v>0</v>
      </c>
      <c r="C860" s="5">
        <f>Statistics!AB35</f>
        <v>0</v>
      </c>
      <c r="I860" s="5">
        <f>Statistics!L6</f>
        <v>0</v>
      </c>
      <c r="J860" s="5">
        <f>Statistics!AB35</f>
        <v>0</v>
      </c>
    </row>
    <row r="861" spans="2:11">
      <c r="B861" s="5">
        <f>Statistics!M6</f>
        <v>0</v>
      </c>
      <c r="C861" s="5">
        <f>Statistics!AC35</f>
        <v>0</v>
      </c>
      <c r="I861" s="5">
        <f>Statistics!M6</f>
        <v>0</v>
      </c>
      <c r="J861" s="5">
        <f>Statistics!AC35</f>
        <v>0</v>
      </c>
    </row>
    <row r="862" spans="2:11">
      <c r="B862" s="5">
        <f>Statistics!N6</f>
        <v>0</v>
      </c>
      <c r="C862" s="5">
        <f>Statistics!AD35</f>
        <v>0</v>
      </c>
      <c r="I862" s="5">
        <f>Statistics!N6</f>
        <v>0</v>
      </c>
      <c r="J862" s="5">
        <f>Statistics!AD35</f>
        <v>0</v>
      </c>
    </row>
    <row r="863" spans="2:11">
      <c r="B863" s="10" t="s">
        <v>68</v>
      </c>
      <c r="C863" s="10">
        <f>Statistics!AE35</f>
        <v>0</v>
      </c>
      <c r="D863" s="10">
        <f>Statistics!AH35</f>
        <v>0</v>
      </c>
      <c r="I863" s="10" t="s">
        <v>68</v>
      </c>
      <c r="J863" s="10">
        <f>Statistics!AE35</f>
        <v>0</v>
      </c>
      <c r="K863" s="10">
        <f>Statistics!AH35</f>
        <v>0</v>
      </c>
    </row>
    <row r="864" spans="2:11">
      <c r="B864" s="10" t="s">
        <v>69</v>
      </c>
      <c r="C864" s="10">
        <f>Statistics!AG35</f>
        <v>0</v>
      </c>
      <c r="I864" s="10" t="s">
        <v>69</v>
      </c>
      <c r="J864" s="10">
        <f>Statistics!AG35</f>
        <v>0</v>
      </c>
    </row>
    <row r="865" spans="2:12">
      <c r="D865" s="10" t="s">
        <v>71</v>
      </c>
      <c r="E865" s="10"/>
      <c r="K865" s="10" t="s">
        <v>71</v>
      </c>
      <c r="L865" s="10"/>
    </row>
    <row r="866" spans="2:12">
      <c r="B866" s="10" t="s">
        <v>70</v>
      </c>
      <c r="C866" s="10"/>
      <c r="D866" s="10" t="s">
        <v>72</v>
      </c>
      <c r="E866" s="10"/>
      <c r="I866" s="10" t="s">
        <v>70</v>
      </c>
      <c r="J866" s="10"/>
      <c r="K866" s="10" t="s">
        <v>72</v>
      </c>
      <c r="L866" s="10"/>
    </row>
    <row r="878" spans="2:12">
      <c r="B878" s="10" t="s">
        <v>64</v>
      </c>
      <c r="C878" s="10">
        <f>Statistics!B36</f>
        <v>0</v>
      </c>
      <c r="D878" s="10"/>
      <c r="I878" s="10" t="s">
        <v>64</v>
      </c>
      <c r="J878" s="10">
        <f>Statistics!B36</f>
        <v>0</v>
      </c>
      <c r="K878" s="10"/>
    </row>
    <row r="879" spans="2:12">
      <c r="B879" s="10" t="s">
        <v>65</v>
      </c>
      <c r="C879" s="10">
        <f>Statistics!A36</f>
        <v>0</v>
      </c>
      <c r="I879" s="10" t="s">
        <v>65</v>
      </c>
      <c r="J879" s="10">
        <f>Statistics!A36</f>
        <v>0</v>
      </c>
    </row>
    <row r="881" spans="2:12">
      <c r="B881" s="5" t="s">
        <v>66</v>
      </c>
      <c r="C881" s="5" t="s">
        <v>67</v>
      </c>
      <c r="I881" s="5" t="s">
        <v>66</v>
      </c>
      <c r="J881" s="5" t="s">
        <v>67</v>
      </c>
    </row>
    <row r="882" spans="2:12">
      <c r="B882" s="5">
        <f>Statistics!D6</f>
        <v>0</v>
      </c>
      <c r="C882" s="5">
        <f>Statistics!T36</f>
        <v>0</v>
      </c>
      <c r="I882" s="5">
        <f>Statistics!D6</f>
        <v>0</v>
      </c>
      <c r="J882" s="5">
        <f>Statistics!T36</f>
        <v>0</v>
      </c>
    </row>
    <row r="883" spans="2:12">
      <c r="B883" s="5">
        <f>Statistics!E6</f>
        <v>0</v>
      </c>
      <c r="C883" s="5">
        <f>Statistics!U36</f>
        <v>0</v>
      </c>
      <c r="I883" s="5">
        <f>Statistics!E6</f>
        <v>0</v>
      </c>
      <c r="J883" s="5">
        <f>Statistics!U36</f>
        <v>0</v>
      </c>
    </row>
    <row r="884" spans="2:12">
      <c r="B884" s="5">
        <f>Statistics!F6</f>
        <v>0</v>
      </c>
      <c r="C884" s="5">
        <f>Statistics!V36</f>
        <v>0</v>
      </c>
      <c r="I884" s="5">
        <f>Statistics!F6</f>
        <v>0</v>
      </c>
      <c r="J884" s="5">
        <f>Statistics!V36</f>
        <v>0</v>
      </c>
    </row>
    <row r="885" spans="2:12">
      <c r="B885" s="5">
        <f>Statistics!G6</f>
        <v>0</v>
      </c>
      <c r="C885" s="5">
        <f>Statistics!W36</f>
        <v>0</v>
      </c>
      <c r="I885" s="5">
        <f>Statistics!G6</f>
        <v>0</v>
      </c>
      <c r="J885" s="5">
        <f>Statistics!W36</f>
        <v>0</v>
      </c>
    </row>
    <row r="886" spans="2:12">
      <c r="B886" s="5">
        <f>Statistics!H6</f>
        <v>0</v>
      </c>
      <c r="C886" s="5">
        <f>Statistics!X36</f>
        <v>0</v>
      </c>
      <c r="I886" s="5">
        <f>Statistics!H6</f>
        <v>0</v>
      </c>
      <c r="J886" s="5">
        <f>Statistics!X36</f>
        <v>0</v>
      </c>
    </row>
    <row r="887" spans="2:12">
      <c r="B887" s="5">
        <f>Statistics!I6</f>
        <v>0</v>
      </c>
      <c r="C887" s="5">
        <f>Statistics!Y36</f>
        <v>0</v>
      </c>
      <c r="I887" s="5">
        <f>Statistics!I6</f>
        <v>0</v>
      </c>
      <c r="J887" s="5">
        <f>Statistics!Y36</f>
        <v>0</v>
      </c>
    </row>
    <row r="888" spans="2:12">
      <c r="B888" s="5">
        <f>Statistics!J6</f>
        <v>0</v>
      </c>
      <c r="C888" s="5">
        <f>Statistics!Z36</f>
        <v>0</v>
      </c>
      <c r="I888" s="5">
        <f>Statistics!J6</f>
        <v>0</v>
      </c>
      <c r="J888" s="5">
        <f>Statistics!Z36</f>
        <v>0</v>
      </c>
    </row>
    <row r="889" spans="2:12">
      <c r="B889" s="5">
        <f>Statistics!K6</f>
        <v>0</v>
      </c>
      <c r="C889" s="5">
        <f>Statistics!AA36</f>
        <v>0</v>
      </c>
      <c r="I889" s="5">
        <f>Statistics!K6</f>
        <v>0</v>
      </c>
      <c r="J889" s="5">
        <f>Statistics!AA36</f>
        <v>0</v>
      </c>
    </row>
    <row r="890" spans="2:12">
      <c r="B890" s="5">
        <f>Statistics!L6</f>
        <v>0</v>
      </c>
      <c r="C890" s="5">
        <f>Statistics!AB36</f>
        <v>0</v>
      </c>
      <c r="I890" s="5">
        <f>Statistics!L6</f>
        <v>0</v>
      </c>
      <c r="J890" s="5">
        <f>Statistics!AB36</f>
        <v>0</v>
      </c>
    </row>
    <row r="891" spans="2:12">
      <c r="B891" s="5">
        <f>Statistics!M6</f>
        <v>0</v>
      </c>
      <c r="C891" s="5">
        <f>Statistics!AC36</f>
        <v>0</v>
      </c>
      <c r="I891" s="5">
        <f>Statistics!M6</f>
        <v>0</v>
      </c>
      <c r="J891" s="5">
        <f>Statistics!AC36</f>
        <v>0</v>
      </c>
    </row>
    <row r="892" spans="2:12">
      <c r="B892" s="5">
        <f>Statistics!N6</f>
        <v>0</v>
      </c>
      <c r="C892" s="5">
        <f>Statistics!AD36</f>
        <v>0</v>
      </c>
      <c r="I892" s="5">
        <f>Statistics!N6</f>
        <v>0</v>
      </c>
      <c r="J892" s="5">
        <f>Statistics!AD36</f>
        <v>0</v>
      </c>
    </row>
    <row r="893" spans="2:12">
      <c r="B893" s="10" t="s">
        <v>68</v>
      </c>
      <c r="C893" s="10">
        <f>Statistics!AE36</f>
        <v>0</v>
      </c>
      <c r="D893" s="10">
        <f>Statistics!AH36</f>
        <v>0</v>
      </c>
      <c r="I893" s="10" t="s">
        <v>68</v>
      </c>
      <c r="J893" s="10">
        <f>Statistics!AE36</f>
        <v>0</v>
      </c>
      <c r="K893" s="10">
        <f>Statistics!AH36</f>
        <v>0</v>
      </c>
    </row>
    <row r="894" spans="2:12">
      <c r="B894" s="10" t="s">
        <v>69</v>
      </c>
      <c r="C894" s="10">
        <f>Statistics!AG36</f>
        <v>0</v>
      </c>
      <c r="I894" s="10" t="s">
        <v>69</v>
      </c>
      <c r="J894" s="10">
        <f>Statistics!AG36</f>
        <v>0</v>
      </c>
    </row>
    <row r="895" spans="2:12">
      <c r="D895" s="10" t="s">
        <v>71</v>
      </c>
      <c r="E895" s="10"/>
      <c r="K895" s="10" t="s">
        <v>71</v>
      </c>
      <c r="L895" s="10"/>
    </row>
    <row r="896" spans="2:12">
      <c r="B896" s="10" t="s">
        <v>70</v>
      </c>
      <c r="C896" s="10"/>
      <c r="D896" s="10" t="s">
        <v>72</v>
      </c>
      <c r="E896" s="10"/>
      <c r="I896" s="10" t="s">
        <v>70</v>
      </c>
      <c r="J896" s="10"/>
      <c r="K896" s="10" t="s">
        <v>72</v>
      </c>
      <c r="L896" s="10"/>
    </row>
    <row r="908" spans="2:11">
      <c r="B908" s="10" t="s">
        <v>64</v>
      </c>
      <c r="C908" s="10">
        <f>Statistics!B37</f>
        <v>0</v>
      </c>
      <c r="D908" s="10"/>
      <c r="I908" s="10" t="s">
        <v>64</v>
      </c>
      <c r="J908" s="10">
        <f>Statistics!B37</f>
        <v>0</v>
      </c>
      <c r="K908" s="10"/>
    </row>
    <row r="909" spans="2:11">
      <c r="B909" s="10" t="s">
        <v>65</v>
      </c>
      <c r="C909" s="10">
        <f>Statistics!A37</f>
        <v>0</v>
      </c>
      <c r="I909" s="10" t="s">
        <v>65</v>
      </c>
      <c r="J909" s="10">
        <f>Statistics!A37</f>
        <v>0</v>
      </c>
    </row>
    <row r="911" spans="2:11">
      <c r="B911" s="5" t="s">
        <v>66</v>
      </c>
      <c r="C911" s="5" t="s">
        <v>67</v>
      </c>
      <c r="I911" s="5" t="s">
        <v>66</v>
      </c>
      <c r="J911" s="5" t="s">
        <v>67</v>
      </c>
    </row>
    <row r="912" spans="2:11">
      <c r="B912" s="5">
        <f>Statistics!D6</f>
        <v>0</v>
      </c>
      <c r="C912" s="5">
        <f>Statistics!T37</f>
        <v>0</v>
      </c>
      <c r="I912" s="5">
        <f>Statistics!D6</f>
        <v>0</v>
      </c>
      <c r="J912" s="5">
        <f>Statistics!T37</f>
        <v>0</v>
      </c>
    </row>
    <row r="913" spans="2:12">
      <c r="B913" s="5">
        <f>Statistics!E6</f>
        <v>0</v>
      </c>
      <c r="C913" s="5">
        <f>Statistics!U37</f>
        <v>0</v>
      </c>
      <c r="I913" s="5">
        <f>Statistics!E6</f>
        <v>0</v>
      </c>
      <c r="J913" s="5">
        <f>Statistics!U37</f>
        <v>0</v>
      </c>
    </row>
    <row r="914" spans="2:12">
      <c r="B914" s="5">
        <f>Statistics!F6</f>
        <v>0</v>
      </c>
      <c r="C914" s="5">
        <f>Statistics!V37</f>
        <v>0</v>
      </c>
      <c r="I914" s="5">
        <f>Statistics!F6</f>
        <v>0</v>
      </c>
      <c r="J914" s="5">
        <f>Statistics!V37</f>
        <v>0</v>
      </c>
    </row>
    <row r="915" spans="2:12">
      <c r="B915" s="5">
        <f>Statistics!G6</f>
        <v>0</v>
      </c>
      <c r="C915" s="5">
        <f>Statistics!W37</f>
        <v>0</v>
      </c>
      <c r="I915" s="5">
        <f>Statistics!G6</f>
        <v>0</v>
      </c>
      <c r="J915" s="5">
        <f>Statistics!W37</f>
        <v>0</v>
      </c>
    </row>
    <row r="916" spans="2:12">
      <c r="B916" s="5">
        <f>Statistics!H6</f>
        <v>0</v>
      </c>
      <c r="C916" s="5">
        <f>Statistics!X37</f>
        <v>0</v>
      </c>
      <c r="I916" s="5">
        <f>Statistics!H6</f>
        <v>0</v>
      </c>
      <c r="J916" s="5">
        <f>Statistics!X37</f>
        <v>0</v>
      </c>
    </row>
    <row r="917" spans="2:12">
      <c r="B917" s="5">
        <f>Statistics!I6</f>
        <v>0</v>
      </c>
      <c r="C917" s="5">
        <f>Statistics!Y37</f>
        <v>0</v>
      </c>
      <c r="I917" s="5">
        <f>Statistics!I6</f>
        <v>0</v>
      </c>
      <c r="J917" s="5">
        <f>Statistics!Y37</f>
        <v>0</v>
      </c>
    </row>
    <row r="918" spans="2:12">
      <c r="B918" s="5">
        <f>Statistics!J6</f>
        <v>0</v>
      </c>
      <c r="C918" s="5">
        <f>Statistics!Z37</f>
        <v>0</v>
      </c>
      <c r="I918" s="5">
        <f>Statistics!J6</f>
        <v>0</v>
      </c>
      <c r="J918" s="5">
        <f>Statistics!Z37</f>
        <v>0</v>
      </c>
    </row>
    <row r="919" spans="2:12">
      <c r="B919" s="5">
        <f>Statistics!K6</f>
        <v>0</v>
      </c>
      <c r="C919" s="5">
        <f>Statistics!AA37</f>
        <v>0</v>
      </c>
      <c r="I919" s="5">
        <f>Statistics!K6</f>
        <v>0</v>
      </c>
      <c r="J919" s="5">
        <f>Statistics!AA37</f>
        <v>0</v>
      </c>
    </row>
    <row r="920" spans="2:12">
      <c r="B920" s="5">
        <f>Statistics!L6</f>
        <v>0</v>
      </c>
      <c r="C920" s="5">
        <f>Statistics!AB37</f>
        <v>0</v>
      </c>
      <c r="I920" s="5">
        <f>Statistics!L6</f>
        <v>0</v>
      </c>
      <c r="J920" s="5">
        <f>Statistics!AB37</f>
        <v>0</v>
      </c>
    </row>
    <row r="921" spans="2:12">
      <c r="B921" s="5">
        <f>Statistics!M6</f>
        <v>0</v>
      </c>
      <c r="C921" s="5">
        <f>Statistics!AC37</f>
        <v>0</v>
      </c>
      <c r="I921" s="5">
        <f>Statistics!M6</f>
        <v>0</v>
      </c>
      <c r="J921" s="5">
        <f>Statistics!AC37</f>
        <v>0</v>
      </c>
    </row>
    <row r="922" spans="2:12">
      <c r="B922" s="5">
        <f>Statistics!N6</f>
        <v>0</v>
      </c>
      <c r="C922" s="5">
        <f>Statistics!AD37</f>
        <v>0</v>
      </c>
      <c r="I922" s="5">
        <f>Statistics!N6</f>
        <v>0</v>
      </c>
      <c r="J922" s="5">
        <f>Statistics!AD37</f>
        <v>0</v>
      </c>
    </row>
    <row r="923" spans="2:12">
      <c r="B923" s="10" t="s">
        <v>68</v>
      </c>
      <c r="C923" s="10">
        <f>Statistics!AE37</f>
        <v>0</v>
      </c>
      <c r="D923" s="10">
        <f>Statistics!AH37</f>
        <v>0</v>
      </c>
      <c r="I923" s="10" t="s">
        <v>68</v>
      </c>
      <c r="J923" s="10">
        <f>Statistics!AE37</f>
        <v>0</v>
      </c>
      <c r="K923" s="10">
        <f>Statistics!AH37</f>
        <v>0</v>
      </c>
    </row>
    <row r="924" spans="2:12">
      <c r="B924" s="10" t="s">
        <v>69</v>
      </c>
      <c r="C924" s="10">
        <f>Statistics!AG37</f>
        <v>0</v>
      </c>
      <c r="I924" s="10" t="s">
        <v>69</v>
      </c>
      <c r="J924" s="10">
        <f>Statistics!AG37</f>
        <v>0</v>
      </c>
    </row>
    <row r="925" spans="2:12">
      <c r="D925" s="10" t="s">
        <v>71</v>
      </c>
      <c r="E925" s="10"/>
      <c r="K925" s="10" t="s">
        <v>71</v>
      </c>
      <c r="L925" s="10"/>
    </row>
    <row r="926" spans="2:12">
      <c r="B926" s="10" t="s">
        <v>70</v>
      </c>
      <c r="C926" s="10"/>
      <c r="D926" s="10" t="s">
        <v>72</v>
      </c>
      <c r="E926" s="10"/>
      <c r="I926" s="10" t="s">
        <v>70</v>
      </c>
      <c r="J926" s="10"/>
      <c r="K926" s="10" t="s">
        <v>72</v>
      </c>
      <c r="L926" s="10"/>
    </row>
    <row r="938" spans="2:11">
      <c r="B938" s="10" t="s">
        <v>64</v>
      </c>
      <c r="C938" s="10">
        <f>Statistics!B38</f>
        <v>0</v>
      </c>
      <c r="D938" s="10"/>
      <c r="I938" s="10" t="s">
        <v>64</v>
      </c>
      <c r="J938" s="10">
        <f>Statistics!B38</f>
        <v>0</v>
      </c>
      <c r="K938" s="10"/>
    </row>
    <row r="939" spans="2:11">
      <c r="B939" s="10" t="s">
        <v>65</v>
      </c>
      <c r="C939" s="10">
        <f>Statistics!A38</f>
        <v>0</v>
      </c>
      <c r="I939" s="10" t="s">
        <v>65</v>
      </c>
      <c r="J939" s="10">
        <f>Statistics!A38</f>
        <v>0</v>
      </c>
    </row>
    <row r="941" spans="2:11">
      <c r="B941" s="5" t="s">
        <v>66</v>
      </c>
      <c r="C941" s="5" t="s">
        <v>67</v>
      </c>
      <c r="I941" s="5" t="s">
        <v>66</v>
      </c>
      <c r="J941" s="5" t="s">
        <v>67</v>
      </c>
    </row>
    <row r="942" spans="2:11">
      <c r="B942" s="5">
        <f>Statistics!D6</f>
        <v>0</v>
      </c>
      <c r="C942" s="5">
        <f>Statistics!T38</f>
        <v>0</v>
      </c>
      <c r="I942" s="5">
        <f>Statistics!D6</f>
        <v>0</v>
      </c>
      <c r="J942" s="5">
        <f>Statistics!T38</f>
        <v>0</v>
      </c>
    </row>
    <row r="943" spans="2:11">
      <c r="B943" s="5">
        <f>Statistics!E6</f>
        <v>0</v>
      </c>
      <c r="C943" s="5">
        <f>Statistics!U38</f>
        <v>0</v>
      </c>
      <c r="I943" s="5">
        <f>Statistics!E6</f>
        <v>0</v>
      </c>
      <c r="J943" s="5">
        <f>Statistics!U38</f>
        <v>0</v>
      </c>
    </row>
    <row r="944" spans="2:11">
      <c r="B944" s="5">
        <f>Statistics!F6</f>
        <v>0</v>
      </c>
      <c r="C944" s="5">
        <f>Statistics!V38</f>
        <v>0</v>
      </c>
      <c r="I944" s="5">
        <f>Statistics!F6</f>
        <v>0</v>
      </c>
      <c r="J944" s="5">
        <f>Statistics!V38</f>
        <v>0</v>
      </c>
    </row>
    <row r="945" spans="2:12">
      <c r="B945" s="5">
        <f>Statistics!G6</f>
        <v>0</v>
      </c>
      <c r="C945" s="5">
        <f>Statistics!W38</f>
        <v>0</v>
      </c>
      <c r="I945" s="5">
        <f>Statistics!G6</f>
        <v>0</v>
      </c>
      <c r="J945" s="5">
        <f>Statistics!W38</f>
        <v>0</v>
      </c>
    </row>
    <row r="946" spans="2:12">
      <c r="B946" s="5">
        <f>Statistics!H6</f>
        <v>0</v>
      </c>
      <c r="C946" s="5">
        <f>Statistics!X38</f>
        <v>0</v>
      </c>
      <c r="I946" s="5">
        <f>Statistics!H6</f>
        <v>0</v>
      </c>
      <c r="J946" s="5">
        <f>Statistics!X38</f>
        <v>0</v>
      </c>
    </row>
    <row r="947" spans="2:12">
      <c r="B947" s="5">
        <f>Statistics!I6</f>
        <v>0</v>
      </c>
      <c r="C947" s="5">
        <f>Statistics!Y38</f>
        <v>0</v>
      </c>
      <c r="I947" s="5">
        <f>Statistics!I6</f>
        <v>0</v>
      </c>
      <c r="J947" s="5">
        <f>Statistics!Y38</f>
        <v>0</v>
      </c>
    </row>
    <row r="948" spans="2:12">
      <c r="B948" s="5">
        <f>Statistics!J6</f>
        <v>0</v>
      </c>
      <c r="C948" s="5">
        <f>Statistics!Z38</f>
        <v>0</v>
      </c>
      <c r="I948" s="5">
        <f>Statistics!J6</f>
        <v>0</v>
      </c>
      <c r="J948" s="5">
        <f>Statistics!Z38</f>
        <v>0</v>
      </c>
    </row>
    <row r="949" spans="2:12">
      <c r="B949" s="5">
        <f>Statistics!K6</f>
        <v>0</v>
      </c>
      <c r="C949" s="5">
        <f>Statistics!AA38</f>
        <v>0</v>
      </c>
      <c r="I949" s="5">
        <f>Statistics!K6</f>
        <v>0</v>
      </c>
      <c r="J949" s="5">
        <f>Statistics!AA38</f>
        <v>0</v>
      </c>
    </row>
    <row r="950" spans="2:12">
      <c r="B950" s="5">
        <f>Statistics!L6</f>
        <v>0</v>
      </c>
      <c r="C950" s="5">
        <f>Statistics!AB38</f>
        <v>0</v>
      </c>
      <c r="I950" s="5">
        <f>Statistics!L6</f>
        <v>0</v>
      </c>
      <c r="J950" s="5">
        <f>Statistics!AB38</f>
        <v>0</v>
      </c>
    </row>
    <row r="951" spans="2:12">
      <c r="B951" s="5">
        <f>Statistics!M6</f>
        <v>0</v>
      </c>
      <c r="C951" s="5">
        <f>Statistics!AC38</f>
        <v>0</v>
      </c>
      <c r="I951" s="5">
        <f>Statistics!M6</f>
        <v>0</v>
      </c>
      <c r="J951" s="5">
        <f>Statistics!AC38</f>
        <v>0</v>
      </c>
    </row>
    <row r="952" spans="2:12">
      <c r="B952" s="5">
        <f>Statistics!N6</f>
        <v>0</v>
      </c>
      <c r="C952" s="5">
        <f>Statistics!AD38</f>
        <v>0</v>
      </c>
      <c r="I952" s="5">
        <f>Statistics!N6</f>
        <v>0</v>
      </c>
      <c r="J952" s="5">
        <f>Statistics!AD38</f>
        <v>0</v>
      </c>
    </row>
    <row r="953" spans="2:12">
      <c r="B953" s="10" t="s">
        <v>68</v>
      </c>
      <c r="C953" s="10">
        <f>Statistics!AE38</f>
        <v>0</v>
      </c>
      <c r="D953" s="10">
        <f>Statistics!AH38</f>
        <v>0</v>
      </c>
      <c r="I953" s="10" t="s">
        <v>68</v>
      </c>
      <c r="J953" s="10">
        <f>Statistics!AE38</f>
        <v>0</v>
      </c>
      <c r="K953" s="10">
        <f>Statistics!AH38</f>
        <v>0</v>
      </c>
    </row>
    <row r="954" spans="2:12">
      <c r="B954" s="10" t="s">
        <v>69</v>
      </c>
      <c r="C954" s="10">
        <f>Statistics!AG38</f>
        <v>0</v>
      </c>
      <c r="I954" s="10" t="s">
        <v>69</v>
      </c>
      <c r="J954" s="10">
        <f>Statistics!AG38</f>
        <v>0</v>
      </c>
    </row>
    <row r="955" spans="2:12">
      <c r="D955" s="10" t="s">
        <v>71</v>
      </c>
      <c r="E955" s="10"/>
      <c r="K955" s="10" t="s">
        <v>71</v>
      </c>
      <c r="L955" s="10"/>
    </row>
    <row r="956" spans="2:12">
      <c r="B956" s="10" t="s">
        <v>70</v>
      </c>
      <c r="C956" s="10"/>
      <c r="D956" s="10" t="s">
        <v>72</v>
      </c>
      <c r="E956" s="10"/>
      <c r="I956" s="10" t="s">
        <v>70</v>
      </c>
      <c r="J956" s="10"/>
      <c r="K956" s="10" t="s">
        <v>72</v>
      </c>
      <c r="L956" s="10"/>
    </row>
    <row r="968" spans="2:11">
      <c r="B968" s="10" t="s">
        <v>64</v>
      </c>
      <c r="C968" s="10">
        <f>Statistics!B39</f>
        <v>0</v>
      </c>
      <c r="D968" s="10"/>
      <c r="I968" s="10" t="s">
        <v>64</v>
      </c>
      <c r="J968" s="10">
        <f>Statistics!B39</f>
        <v>0</v>
      </c>
      <c r="K968" s="10"/>
    </row>
    <row r="969" spans="2:11">
      <c r="B969" s="10" t="s">
        <v>65</v>
      </c>
      <c r="C969" s="10">
        <f>Statistics!A39</f>
        <v>0</v>
      </c>
      <c r="I969" s="10" t="s">
        <v>65</v>
      </c>
      <c r="J969" s="10">
        <f>Statistics!A39</f>
        <v>0</v>
      </c>
    </row>
    <row r="971" spans="2:11">
      <c r="B971" s="5" t="s">
        <v>66</v>
      </c>
      <c r="C971" s="5" t="s">
        <v>67</v>
      </c>
      <c r="I971" s="5" t="s">
        <v>66</v>
      </c>
      <c r="J971" s="5" t="s">
        <v>67</v>
      </c>
    </row>
    <row r="972" spans="2:11">
      <c r="B972" s="5">
        <f>Statistics!D6</f>
        <v>0</v>
      </c>
      <c r="C972" s="5">
        <f>Statistics!T39</f>
        <v>0</v>
      </c>
      <c r="I972" s="5">
        <f>Statistics!D6</f>
        <v>0</v>
      </c>
      <c r="J972" s="5">
        <f>Statistics!T39</f>
        <v>0</v>
      </c>
    </row>
    <row r="973" spans="2:11">
      <c r="B973" s="5">
        <f>Statistics!E6</f>
        <v>0</v>
      </c>
      <c r="C973" s="5">
        <f>Statistics!U39</f>
        <v>0</v>
      </c>
      <c r="I973" s="5">
        <f>Statistics!E6</f>
        <v>0</v>
      </c>
      <c r="J973" s="5">
        <f>Statistics!U39</f>
        <v>0</v>
      </c>
    </row>
    <row r="974" spans="2:11">
      <c r="B974" s="5">
        <f>Statistics!F6</f>
        <v>0</v>
      </c>
      <c r="C974" s="5">
        <f>Statistics!V39</f>
        <v>0</v>
      </c>
      <c r="I974" s="5">
        <f>Statistics!F6</f>
        <v>0</v>
      </c>
      <c r="J974" s="5">
        <f>Statistics!V39</f>
        <v>0</v>
      </c>
    </row>
    <row r="975" spans="2:11">
      <c r="B975" s="5">
        <f>Statistics!G6</f>
        <v>0</v>
      </c>
      <c r="C975" s="5">
        <f>Statistics!W39</f>
        <v>0</v>
      </c>
      <c r="I975" s="5">
        <f>Statistics!G6</f>
        <v>0</v>
      </c>
      <c r="J975" s="5">
        <f>Statistics!W39</f>
        <v>0</v>
      </c>
    </row>
    <row r="976" spans="2:11">
      <c r="B976" s="5">
        <f>Statistics!H6</f>
        <v>0</v>
      </c>
      <c r="C976" s="5">
        <f>Statistics!X39</f>
        <v>0</v>
      </c>
      <c r="I976" s="5">
        <f>Statistics!H6</f>
        <v>0</v>
      </c>
      <c r="J976" s="5">
        <f>Statistics!X39</f>
        <v>0</v>
      </c>
    </row>
    <row r="977" spans="2:12">
      <c r="B977" s="5">
        <f>Statistics!I6</f>
        <v>0</v>
      </c>
      <c r="C977" s="5">
        <f>Statistics!Y39</f>
        <v>0</v>
      </c>
      <c r="I977" s="5">
        <f>Statistics!I6</f>
        <v>0</v>
      </c>
      <c r="J977" s="5">
        <f>Statistics!Y39</f>
        <v>0</v>
      </c>
    </row>
    <row r="978" spans="2:12">
      <c r="B978" s="5">
        <f>Statistics!J6</f>
        <v>0</v>
      </c>
      <c r="C978" s="5">
        <f>Statistics!Z39</f>
        <v>0</v>
      </c>
      <c r="I978" s="5">
        <f>Statistics!J6</f>
        <v>0</v>
      </c>
      <c r="J978" s="5">
        <f>Statistics!Z39</f>
        <v>0</v>
      </c>
    </row>
    <row r="979" spans="2:12">
      <c r="B979" s="5">
        <f>Statistics!K6</f>
        <v>0</v>
      </c>
      <c r="C979" s="5">
        <f>Statistics!AA39</f>
        <v>0</v>
      </c>
      <c r="I979" s="5">
        <f>Statistics!K6</f>
        <v>0</v>
      </c>
      <c r="J979" s="5">
        <f>Statistics!AA39</f>
        <v>0</v>
      </c>
    </row>
    <row r="980" spans="2:12">
      <c r="B980" s="5">
        <f>Statistics!L6</f>
        <v>0</v>
      </c>
      <c r="C980" s="5">
        <f>Statistics!AB39</f>
        <v>0</v>
      </c>
      <c r="I980" s="5">
        <f>Statistics!L6</f>
        <v>0</v>
      </c>
      <c r="J980" s="5">
        <f>Statistics!AB39</f>
        <v>0</v>
      </c>
    </row>
    <row r="981" spans="2:12">
      <c r="B981" s="5">
        <f>Statistics!M6</f>
        <v>0</v>
      </c>
      <c r="C981" s="5">
        <f>Statistics!AC39</f>
        <v>0</v>
      </c>
      <c r="I981" s="5">
        <f>Statistics!M6</f>
        <v>0</v>
      </c>
      <c r="J981" s="5">
        <f>Statistics!AC39</f>
        <v>0</v>
      </c>
    </row>
    <row r="982" spans="2:12">
      <c r="B982" s="5">
        <f>Statistics!N6</f>
        <v>0</v>
      </c>
      <c r="C982" s="5">
        <f>Statistics!AD39</f>
        <v>0</v>
      </c>
      <c r="I982" s="5">
        <f>Statistics!N6</f>
        <v>0</v>
      </c>
      <c r="J982" s="5">
        <f>Statistics!AD39</f>
        <v>0</v>
      </c>
    </row>
    <row r="983" spans="2:12">
      <c r="B983" s="10" t="s">
        <v>68</v>
      </c>
      <c r="C983" s="10">
        <f>Statistics!AE39</f>
        <v>0</v>
      </c>
      <c r="D983" s="10">
        <f>Statistics!AH39</f>
        <v>0</v>
      </c>
      <c r="I983" s="10" t="s">
        <v>68</v>
      </c>
      <c r="J983" s="10">
        <f>Statistics!AE39</f>
        <v>0</v>
      </c>
      <c r="K983" s="10">
        <f>Statistics!AH39</f>
        <v>0</v>
      </c>
    </row>
    <row r="984" spans="2:12">
      <c r="B984" s="10" t="s">
        <v>69</v>
      </c>
      <c r="C984" s="10">
        <f>Statistics!AG39</f>
        <v>0</v>
      </c>
      <c r="I984" s="10" t="s">
        <v>69</v>
      </c>
      <c r="J984" s="10">
        <f>Statistics!AG39</f>
        <v>0</v>
      </c>
    </row>
    <row r="985" spans="2:12">
      <c r="D985" s="10" t="s">
        <v>71</v>
      </c>
      <c r="E985" s="10"/>
      <c r="K985" s="10" t="s">
        <v>71</v>
      </c>
      <c r="L985" s="10"/>
    </row>
    <row r="986" spans="2:12">
      <c r="B986" s="10" t="s">
        <v>70</v>
      </c>
      <c r="C986" s="10"/>
      <c r="D986" s="10" t="s">
        <v>72</v>
      </c>
      <c r="E986" s="10"/>
      <c r="I986" s="10" t="s">
        <v>70</v>
      </c>
      <c r="J986" s="10"/>
      <c r="K986" s="10" t="s">
        <v>72</v>
      </c>
      <c r="L986" s="10"/>
    </row>
    <row r="998" spans="2:11">
      <c r="B998" s="10" t="s">
        <v>64</v>
      </c>
      <c r="C998" s="10">
        <f>Statistics!B40</f>
        <v>0</v>
      </c>
      <c r="D998" s="10"/>
      <c r="I998" s="10" t="s">
        <v>64</v>
      </c>
      <c r="J998" s="10">
        <f>Statistics!B40</f>
        <v>0</v>
      </c>
      <c r="K998" s="10"/>
    </row>
    <row r="999" spans="2:11">
      <c r="B999" s="10" t="s">
        <v>65</v>
      </c>
      <c r="C999" s="10">
        <f>Statistics!A40</f>
        <v>0</v>
      </c>
      <c r="I999" s="10" t="s">
        <v>65</v>
      </c>
      <c r="J999" s="10">
        <f>Statistics!A40</f>
        <v>0</v>
      </c>
    </row>
    <row r="1001" spans="2:11">
      <c r="B1001" s="5" t="s">
        <v>66</v>
      </c>
      <c r="C1001" s="5" t="s">
        <v>67</v>
      </c>
      <c r="I1001" s="5" t="s">
        <v>66</v>
      </c>
      <c r="J1001" s="5" t="s">
        <v>67</v>
      </c>
    </row>
    <row r="1002" spans="2:11">
      <c r="B1002" s="5">
        <f>Statistics!D6</f>
        <v>0</v>
      </c>
      <c r="C1002" s="5">
        <f>Statistics!T40</f>
        <v>0</v>
      </c>
      <c r="I1002" s="5">
        <f>Statistics!D6</f>
        <v>0</v>
      </c>
      <c r="J1002" s="5">
        <f>Statistics!T40</f>
        <v>0</v>
      </c>
    </row>
    <row r="1003" spans="2:11">
      <c r="B1003" s="5">
        <f>Statistics!E6</f>
        <v>0</v>
      </c>
      <c r="C1003" s="5">
        <f>Statistics!U40</f>
        <v>0</v>
      </c>
      <c r="I1003" s="5">
        <f>Statistics!E6</f>
        <v>0</v>
      </c>
      <c r="J1003" s="5">
        <f>Statistics!U40</f>
        <v>0</v>
      </c>
    </row>
    <row r="1004" spans="2:11">
      <c r="B1004" s="5">
        <f>Statistics!F6</f>
        <v>0</v>
      </c>
      <c r="C1004" s="5">
        <f>Statistics!V40</f>
        <v>0</v>
      </c>
      <c r="I1004" s="5">
        <f>Statistics!F6</f>
        <v>0</v>
      </c>
      <c r="J1004" s="5">
        <f>Statistics!V40</f>
        <v>0</v>
      </c>
    </row>
    <row r="1005" spans="2:11">
      <c r="B1005" s="5">
        <f>Statistics!G6</f>
        <v>0</v>
      </c>
      <c r="C1005" s="5">
        <f>Statistics!W40</f>
        <v>0</v>
      </c>
      <c r="I1005" s="5">
        <f>Statistics!G6</f>
        <v>0</v>
      </c>
      <c r="J1005" s="5">
        <f>Statistics!W40</f>
        <v>0</v>
      </c>
    </row>
    <row r="1006" spans="2:11">
      <c r="B1006" s="5">
        <f>Statistics!H6</f>
        <v>0</v>
      </c>
      <c r="C1006" s="5">
        <f>Statistics!X40</f>
        <v>0</v>
      </c>
      <c r="I1006" s="5">
        <f>Statistics!H6</f>
        <v>0</v>
      </c>
      <c r="J1006" s="5">
        <f>Statistics!X40</f>
        <v>0</v>
      </c>
    </row>
    <row r="1007" spans="2:11">
      <c r="B1007" s="5">
        <f>Statistics!I6</f>
        <v>0</v>
      </c>
      <c r="C1007" s="5">
        <f>Statistics!Y40</f>
        <v>0</v>
      </c>
      <c r="I1007" s="5">
        <f>Statistics!I6</f>
        <v>0</v>
      </c>
      <c r="J1007" s="5">
        <f>Statistics!Y40</f>
        <v>0</v>
      </c>
    </row>
    <row r="1008" spans="2:11">
      <c r="B1008" s="5">
        <f>Statistics!J6</f>
        <v>0</v>
      </c>
      <c r="C1008" s="5">
        <f>Statistics!Z40</f>
        <v>0</v>
      </c>
      <c r="I1008" s="5">
        <f>Statistics!J6</f>
        <v>0</v>
      </c>
      <c r="J1008" s="5">
        <f>Statistics!Z40</f>
        <v>0</v>
      </c>
    </row>
    <row r="1009" spans="2:12">
      <c r="B1009" s="5">
        <f>Statistics!K6</f>
        <v>0</v>
      </c>
      <c r="C1009" s="5">
        <f>Statistics!AA40</f>
        <v>0</v>
      </c>
      <c r="I1009" s="5">
        <f>Statistics!K6</f>
        <v>0</v>
      </c>
      <c r="J1009" s="5">
        <f>Statistics!AA40</f>
        <v>0</v>
      </c>
    </row>
    <row r="1010" spans="2:12">
      <c r="B1010" s="5">
        <f>Statistics!L6</f>
        <v>0</v>
      </c>
      <c r="C1010" s="5">
        <f>Statistics!AB40</f>
        <v>0</v>
      </c>
      <c r="I1010" s="5">
        <f>Statistics!L6</f>
        <v>0</v>
      </c>
      <c r="J1010" s="5">
        <f>Statistics!AB40</f>
        <v>0</v>
      </c>
    </row>
    <row r="1011" spans="2:12">
      <c r="B1011" s="5">
        <f>Statistics!M6</f>
        <v>0</v>
      </c>
      <c r="C1011" s="5">
        <f>Statistics!AC40</f>
        <v>0</v>
      </c>
      <c r="I1011" s="5">
        <f>Statistics!M6</f>
        <v>0</v>
      </c>
      <c r="J1011" s="5">
        <f>Statistics!AC40</f>
        <v>0</v>
      </c>
    </row>
    <row r="1012" spans="2:12">
      <c r="B1012" s="5">
        <f>Statistics!N6</f>
        <v>0</v>
      </c>
      <c r="C1012" s="5">
        <f>Statistics!AD40</f>
        <v>0</v>
      </c>
      <c r="I1012" s="5">
        <f>Statistics!N6</f>
        <v>0</v>
      </c>
      <c r="J1012" s="5">
        <f>Statistics!AD40</f>
        <v>0</v>
      </c>
    </row>
    <row r="1013" spans="2:12">
      <c r="B1013" s="10" t="s">
        <v>68</v>
      </c>
      <c r="C1013" s="10">
        <f>Statistics!AE40</f>
        <v>0</v>
      </c>
      <c r="D1013" s="10">
        <f>Statistics!AH40</f>
        <v>0</v>
      </c>
      <c r="I1013" s="10" t="s">
        <v>68</v>
      </c>
      <c r="J1013" s="10">
        <f>Statistics!AE40</f>
        <v>0</v>
      </c>
      <c r="K1013" s="10">
        <f>Statistics!AH40</f>
        <v>0</v>
      </c>
    </row>
    <row r="1014" spans="2:12">
      <c r="B1014" s="10" t="s">
        <v>69</v>
      </c>
      <c r="C1014" s="10">
        <f>Statistics!AG40</f>
        <v>0</v>
      </c>
      <c r="I1014" s="10" t="s">
        <v>69</v>
      </c>
      <c r="J1014" s="10">
        <f>Statistics!AG40</f>
        <v>0</v>
      </c>
    </row>
    <row r="1015" spans="2:12">
      <c r="D1015" s="10" t="s">
        <v>71</v>
      </c>
      <c r="E1015" s="10"/>
      <c r="K1015" s="10" t="s">
        <v>71</v>
      </c>
      <c r="L1015" s="10"/>
    </row>
    <row r="1016" spans="2:12">
      <c r="B1016" s="10" t="s">
        <v>70</v>
      </c>
      <c r="C1016" s="10"/>
      <c r="D1016" s="10" t="s">
        <v>72</v>
      </c>
      <c r="E1016" s="10"/>
      <c r="I1016" s="10" t="s">
        <v>70</v>
      </c>
      <c r="J1016" s="10"/>
      <c r="K1016" s="10" t="s">
        <v>72</v>
      </c>
      <c r="L1016" s="10"/>
    </row>
    <row r="1028" spans="2:11">
      <c r="B1028" s="10" t="s">
        <v>64</v>
      </c>
      <c r="C1028" s="10">
        <f>Statistics!B41</f>
        <v>0</v>
      </c>
      <c r="D1028" s="10"/>
      <c r="I1028" s="10" t="s">
        <v>64</v>
      </c>
      <c r="J1028" s="10">
        <f>Statistics!B41</f>
        <v>0</v>
      </c>
      <c r="K1028" s="10"/>
    </row>
    <row r="1029" spans="2:11">
      <c r="B1029" s="10" t="s">
        <v>65</v>
      </c>
      <c r="C1029" s="10">
        <f>Statistics!A41</f>
        <v>0</v>
      </c>
      <c r="I1029" s="10" t="s">
        <v>65</v>
      </c>
      <c r="J1029" s="10">
        <f>Statistics!A41</f>
        <v>0</v>
      </c>
    </row>
    <row r="1031" spans="2:11">
      <c r="B1031" s="5" t="s">
        <v>66</v>
      </c>
      <c r="C1031" s="5" t="s">
        <v>67</v>
      </c>
      <c r="I1031" s="5" t="s">
        <v>66</v>
      </c>
      <c r="J1031" s="5" t="s">
        <v>67</v>
      </c>
    </row>
    <row r="1032" spans="2:11">
      <c r="B1032" s="5">
        <f>Statistics!D6</f>
        <v>0</v>
      </c>
      <c r="C1032" s="5">
        <f>Statistics!T41</f>
        <v>0</v>
      </c>
      <c r="I1032" s="5">
        <f>Statistics!D6</f>
        <v>0</v>
      </c>
      <c r="J1032" s="5">
        <f>Statistics!T41</f>
        <v>0</v>
      </c>
    </row>
    <row r="1033" spans="2:11">
      <c r="B1033" s="5">
        <f>Statistics!E6</f>
        <v>0</v>
      </c>
      <c r="C1033" s="5">
        <f>Statistics!U41</f>
        <v>0</v>
      </c>
      <c r="I1033" s="5">
        <f>Statistics!E6</f>
        <v>0</v>
      </c>
      <c r="J1033" s="5">
        <f>Statistics!U41</f>
        <v>0</v>
      </c>
    </row>
    <row r="1034" spans="2:11">
      <c r="B1034" s="5">
        <f>Statistics!F6</f>
        <v>0</v>
      </c>
      <c r="C1034" s="5">
        <f>Statistics!V41</f>
        <v>0</v>
      </c>
      <c r="I1034" s="5">
        <f>Statistics!F6</f>
        <v>0</v>
      </c>
      <c r="J1034" s="5">
        <f>Statistics!V41</f>
        <v>0</v>
      </c>
    </row>
    <row r="1035" spans="2:11">
      <c r="B1035" s="5">
        <f>Statistics!G6</f>
        <v>0</v>
      </c>
      <c r="C1035" s="5">
        <f>Statistics!W41</f>
        <v>0</v>
      </c>
      <c r="I1035" s="5">
        <f>Statistics!G6</f>
        <v>0</v>
      </c>
      <c r="J1035" s="5">
        <f>Statistics!W41</f>
        <v>0</v>
      </c>
    </row>
    <row r="1036" spans="2:11">
      <c r="B1036" s="5">
        <f>Statistics!H6</f>
        <v>0</v>
      </c>
      <c r="C1036" s="5">
        <f>Statistics!X41</f>
        <v>0</v>
      </c>
      <c r="I1036" s="5">
        <f>Statistics!H6</f>
        <v>0</v>
      </c>
      <c r="J1036" s="5">
        <f>Statistics!X41</f>
        <v>0</v>
      </c>
    </row>
    <row r="1037" spans="2:11">
      <c r="B1037" s="5">
        <f>Statistics!I6</f>
        <v>0</v>
      </c>
      <c r="C1037" s="5">
        <f>Statistics!Y41</f>
        <v>0</v>
      </c>
      <c r="I1037" s="5">
        <f>Statistics!I6</f>
        <v>0</v>
      </c>
      <c r="J1037" s="5">
        <f>Statistics!Y41</f>
        <v>0</v>
      </c>
    </row>
    <row r="1038" spans="2:11">
      <c r="B1038" s="5">
        <f>Statistics!J6</f>
        <v>0</v>
      </c>
      <c r="C1038" s="5">
        <f>Statistics!Z41</f>
        <v>0</v>
      </c>
      <c r="I1038" s="5">
        <f>Statistics!J6</f>
        <v>0</v>
      </c>
      <c r="J1038" s="5">
        <f>Statistics!Z41</f>
        <v>0</v>
      </c>
    </row>
    <row r="1039" spans="2:11">
      <c r="B1039" s="5">
        <f>Statistics!K6</f>
        <v>0</v>
      </c>
      <c r="C1039" s="5">
        <f>Statistics!AA41</f>
        <v>0</v>
      </c>
      <c r="I1039" s="5">
        <f>Statistics!K6</f>
        <v>0</v>
      </c>
      <c r="J1039" s="5">
        <f>Statistics!AA41</f>
        <v>0</v>
      </c>
    </row>
    <row r="1040" spans="2:11">
      <c r="B1040" s="5">
        <f>Statistics!L6</f>
        <v>0</v>
      </c>
      <c r="C1040" s="5">
        <f>Statistics!AB41</f>
        <v>0</v>
      </c>
      <c r="I1040" s="5">
        <f>Statistics!L6</f>
        <v>0</v>
      </c>
      <c r="J1040" s="5">
        <f>Statistics!AB41</f>
        <v>0</v>
      </c>
    </row>
    <row r="1041" spans="2:12">
      <c r="B1041" s="5">
        <f>Statistics!M6</f>
        <v>0</v>
      </c>
      <c r="C1041" s="5">
        <f>Statistics!AC41</f>
        <v>0</v>
      </c>
      <c r="I1041" s="5">
        <f>Statistics!M6</f>
        <v>0</v>
      </c>
      <c r="J1041" s="5">
        <f>Statistics!AC41</f>
        <v>0</v>
      </c>
    </row>
    <row r="1042" spans="2:12">
      <c r="B1042" s="5">
        <f>Statistics!N6</f>
        <v>0</v>
      </c>
      <c r="C1042" s="5">
        <f>Statistics!AD41</f>
        <v>0</v>
      </c>
      <c r="I1042" s="5">
        <f>Statistics!N6</f>
        <v>0</v>
      </c>
      <c r="J1042" s="5">
        <f>Statistics!AD41</f>
        <v>0</v>
      </c>
    </row>
    <row r="1043" spans="2:12">
      <c r="B1043" s="10" t="s">
        <v>68</v>
      </c>
      <c r="C1043" s="10">
        <f>Statistics!AE41</f>
        <v>0</v>
      </c>
      <c r="D1043" s="10">
        <f>Statistics!AH41</f>
        <v>0</v>
      </c>
      <c r="I1043" s="10" t="s">
        <v>68</v>
      </c>
      <c r="J1043" s="10">
        <f>Statistics!AE41</f>
        <v>0</v>
      </c>
      <c r="K1043" s="10">
        <f>Statistics!AH41</f>
        <v>0</v>
      </c>
    </row>
    <row r="1044" spans="2:12">
      <c r="B1044" s="10" t="s">
        <v>69</v>
      </c>
      <c r="C1044" s="10">
        <f>Statistics!AG41</f>
        <v>0</v>
      </c>
      <c r="I1044" s="10" t="s">
        <v>69</v>
      </c>
      <c r="J1044" s="10">
        <f>Statistics!AG41</f>
        <v>0</v>
      </c>
    </row>
    <row r="1045" spans="2:12">
      <c r="D1045" s="10" t="s">
        <v>71</v>
      </c>
      <c r="E1045" s="10"/>
      <c r="K1045" s="10" t="s">
        <v>71</v>
      </c>
      <c r="L1045" s="10"/>
    </row>
    <row r="1046" spans="2:12">
      <c r="B1046" s="10" t="s">
        <v>70</v>
      </c>
      <c r="C1046" s="10"/>
      <c r="D1046" s="10" t="s">
        <v>72</v>
      </c>
      <c r="E1046" s="10"/>
      <c r="I1046" s="10" t="s">
        <v>70</v>
      </c>
      <c r="J1046" s="10"/>
      <c r="K1046" s="10" t="s">
        <v>72</v>
      </c>
      <c r="L1046" s="10"/>
    </row>
    <row r="1058" spans="2:11">
      <c r="B1058" s="10" t="s">
        <v>64</v>
      </c>
      <c r="C1058" s="10">
        <f>Statistics!B42</f>
        <v>0</v>
      </c>
      <c r="D1058" s="10"/>
      <c r="I1058" s="10" t="s">
        <v>64</v>
      </c>
      <c r="J1058" s="10">
        <f>Statistics!B42</f>
        <v>0</v>
      </c>
      <c r="K1058" s="10"/>
    </row>
    <row r="1059" spans="2:11">
      <c r="B1059" s="10" t="s">
        <v>65</v>
      </c>
      <c r="C1059" s="10">
        <f>Statistics!A42</f>
        <v>0</v>
      </c>
      <c r="I1059" s="10" t="s">
        <v>65</v>
      </c>
      <c r="J1059" s="10">
        <f>Statistics!A42</f>
        <v>0</v>
      </c>
    </row>
    <row r="1061" spans="2:11">
      <c r="B1061" s="5" t="s">
        <v>66</v>
      </c>
      <c r="C1061" s="5" t="s">
        <v>67</v>
      </c>
      <c r="I1061" s="5" t="s">
        <v>66</v>
      </c>
      <c r="J1061" s="5" t="s">
        <v>67</v>
      </c>
    </row>
    <row r="1062" spans="2:11">
      <c r="B1062" s="5">
        <f>Statistics!D6</f>
        <v>0</v>
      </c>
      <c r="C1062" s="5">
        <f>Statistics!T42</f>
        <v>0</v>
      </c>
      <c r="I1062" s="5">
        <f>Statistics!D6</f>
        <v>0</v>
      </c>
      <c r="J1062" s="5">
        <f>Statistics!T42</f>
        <v>0</v>
      </c>
    </row>
    <row r="1063" spans="2:11">
      <c r="B1063" s="5">
        <f>Statistics!E6</f>
        <v>0</v>
      </c>
      <c r="C1063" s="5">
        <f>Statistics!U42</f>
        <v>0</v>
      </c>
      <c r="I1063" s="5">
        <f>Statistics!E6</f>
        <v>0</v>
      </c>
      <c r="J1063" s="5">
        <f>Statistics!U42</f>
        <v>0</v>
      </c>
    </row>
    <row r="1064" spans="2:11">
      <c r="B1064" s="5">
        <f>Statistics!F6</f>
        <v>0</v>
      </c>
      <c r="C1064" s="5">
        <f>Statistics!V42</f>
        <v>0</v>
      </c>
      <c r="I1064" s="5">
        <f>Statistics!F6</f>
        <v>0</v>
      </c>
      <c r="J1064" s="5">
        <f>Statistics!V42</f>
        <v>0</v>
      </c>
    </row>
    <row r="1065" spans="2:11">
      <c r="B1065" s="5">
        <f>Statistics!G6</f>
        <v>0</v>
      </c>
      <c r="C1065" s="5">
        <f>Statistics!W42</f>
        <v>0</v>
      </c>
      <c r="I1065" s="5">
        <f>Statistics!G6</f>
        <v>0</v>
      </c>
      <c r="J1065" s="5">
        <f>Statistics!W42</f>
        <v>0</v>
      </c>
    </row>
    <row r="1066" spans="2:11">
      <c r="B1066" s="5">
        <f>Statistics!H6</f>
        <v>0</v>
      </c>
      <c r="C1066" s="5">
        <f>Statistics!X42</f>
        <v>0</v>
      </c>
      <c r="I1066" s="5">
        <f>Statistics!H6</f>
        <v>0</v>
      </c>
      <c r="J1066" s="5">
        <f>Statistics!X42</f>
        <v>0</v>
      </c>
    </row>
    <row r="1067" spans="2:11">
      <c r="B1067" s="5">
        <f>Statistics!I6</f>
        <v>0</v>
      </c>
      <c r="C1067" s="5">
        <f>Statistics!Y42</f>
        <v>0</v>
      </c>
      <c r="I1067" s="5">
        <f>Statistics!I6</f>
        <v>0</v>
      </c>
      <c r="J1067" s="5">
        <f>Statistics!Y42</f>
        <v>0</v>
      </c>
    </row>
    <row r="1068" spans="2:11">
      <c r="B1068" s="5">
        <f>Statistics!J6</f>
        <v>0</v>
      </c>
      <c r="C1068" s="5">
        <f>Statistics!Z42</f>
        <v>0</v>
      </c>
      <c r="I1068" s="5">
        <f>Statistics!J6</f>
        <v>0</v>
      </c>
      <c r="J1068" s="5">
        <f>Statistics!Z42</f>
        <v>0</v>
      </c>
    </row>
    <row r="1069" spans="2:11">
      <c r="B1069" s="5">
        <f>Statistics!K6</f>
        <v>0</v>
      </c>
      <c r="C1069" s="5">
        <f>Statistics!AA42</f>
        <v>0</v>
      </c>
      <c r="I1069" s="5">
        <f>Statistics!K6</f>
        <v>0</v>
      </c>
      <c r="J1069" s="5">
        <f>Statistics!AA42</f>
        <v>0</v>
      </c>
    </row>
    <row r="1070" spans="2:11">
      <c r="B1070" s="5">
        <f>Statistics!L6</f>
        <v>0</v>
      </c>
      <c r="C1070" s="5">
        <f>Statistics!AB42</f>
        <v>0</v>
      </c>
      <c r="I1070" s="5">
        <f>Statistics!L6</f>
        <v>0</v>
      </c>
      <c r="J1070" s="5">
        <f>Statistics!AB42</f>
        <v>0</v>
      </c>
    </row>
    <row r="1071" spans="2:11">
      <c r="B1071" s="5">
        <f>Statistics!M6</f>
        <v>0</v>
      </c>
      <c r="C1071" s="5">
        <f>Statistics!AC42</f>
        <v>0</v>
      </c>
      <c r="I1071" s="5">
        <f>Statistics!M6</f>
        <v>0</v>
      </c>
      <c r="J1071" s="5">
        <f>Statistics!AC42</f>
        <v>0</v>
      </c>
    </row>
    <row r="1072" spans="2:11">
      <c r="B1072" s="5">
        <f>Statistics!N6</f>
        <v>0</v>
      </c>
      <c r="C1072" s="5">
        <f>Statistics!AD42</f>
        <v>0</v>
      </c>
      <c r="I1072" s="5">
        <f>Statistics!N6</f>
        <v>0</v>
      </c>
      <c r="J1072" s="5">
        <f>Statistics!AD42</f>
        <v>0</v>
      </c>
    </row>
    <row r="1073" spans="2:12">
      <c r="B1073" s="10" t="s">
        <v>68</v>
      </c>
      <c r="C1073" s="10">
        <f>Statistics!AE42</f>
        <v>0</v>
      </c>
      <c r="D1073" s="10">
        <f>Statistics!AH42</f>
        <v>0</v>
      </c>
      <c r="I1073" s="10" t="s">
        <v>68</v>
      </c>
      <c r="J1073" s="10">
        <f>Statistics!AE42</f>
        <v>0</v>
      </c>
      <c r="K1073" s="10">
        <f>Statistics!AH42</f>
        <v>0</v>
      </c>
    </row>
    <row r="1074" spans="2:12">
      <c r="B1074" s="10" t="s">
        <v>69</v>
      </c>
      <c r="C1074" s="10">
        <f>Statistics!AG42</f>
        <v>0</v>
      </c>
      <c r="I1074" s="10" t="s">
        <v>69</v>
      </c>
      <c r="J1074" s="10">
        <f>Statistics!AG42</f>
        <v>0</v>
      </c>
    </row>
    <row r="1075" spans="2:12">
      <c r="D1075" s="10" t="s">
        <v>71</v>
      </c>
      <c r="E1075" s="10"/>
      <c r="K1075" s="10" t="s">
        <v>71</v>
      </c>
      <c r="L1075" s="10"/>
    </row>
    <row r="1076" spans="2:12">
      <c r="B1076" s="10" t="s">
        <v>70</v>
      </c>
      <c r="C1076" s="10"/>
      <c r="D1076" s="10" t="s">
        <v>72</v>
      </c>
      <c r="E1076" s="10"/>
      <c r="I1076" s="10" t="s">
        <v>70</v>
      </c>
      <c r="J1076" s="10"/>
      <c r="K1076" s="10" t="s">
        <v>72</v>
      </c>
      <c r="L1076" s="10"/>
    </row>
    <row r="1088" spans="2:12">
      <c r="B1088" s="10" t="s">
        <v>64</v>
      </c>
      <c r="C1088" s="10">
        <f>Statistics!B43</f>
        <v>0</v>
      </c>
      <c r="D1088" s="10"/>
      <c r="I1088" s="10" t="s">
        <v>64</v>
      </c>
      <c r="J1088" s="10">
        <f>Statistics!B43</f>
        <v>0</v>
      </c>
      <c r="K1088" s="10"/>
    </row>
    <row r="1089" spans="2:11">
      <c r="B1089" s="10" t="s">
        <v>65</v>
      </c>
      <c r="C1089" s="10">
        <f>Statistics!A43</f>
        <v>0</v>
      </c>
      <c r="I1089" s="10" t="s">
        <v>65</v>
      </c>
      <c r="J1089" s="10">
        <f>Statistics!A43</f>
        <v>0</v>
      </c>
    </row>
    <row r="1091" spans="2:11">
      <c r="B1091" s="5" t="s">
        <v>66</v>
      </c>
      <c r="C1091" s="5" t="s">
        <v>67</v>
      </c>
      <c r="I1091" s="5" t="s">
        <v>66</v>
      </c>
      <c r="J1091" s="5" t="s">
        <v>67</v>
      </c>
    </row>
    <row r="1092" spans="2:11">
      <c r="B1092" s="5">
        <f>Statistics!D6</f>
        <v>0</v>
      </c>
      <c r="C1092" s="5">
        <f>Statistics!T43</f>
        <v>0</v>
      </c>
      <c r="I1092" s="5">
        <f>Statistics!D6</f>
        <v>0</v>
      </c>
      <c r="J1092" s="5">
        <f>Statistics!T43</f>
        <v>0</v>
      </c>
    </row>
    <row r="1093" spans="2:11">
      <c r="B1093" s="5">
        <f>Statistics!E6</f>
        <v>0</v>
      </c>
      <c r="C1093" s="5">
        <f>Statistics!U43</f>
        <v>0</v>
      </c>
      <c r="I1093" s="5">
        <f>Statistics!E6</f>
        <v>0</v>
      </c>
      <c r="J1093" s="5">
        <f>Statistics!U43</f>
        <v>0</v>
      </c>
    </row>
    <row r="1094" spans="2:11">
      <c r="B1094" s="5">
        <f>Statistics!F6</f>
        <v>0</v>
      </c>
      <c r="C1094" s="5">
        <f>Statistics!V43</f>
        <v>0</v>
      </c>
      <c r="I1094" s="5">
        <f>Statistics!F6</f>
        <v>0</v>
      </c>
      <c r="J1094" s="5">
        <f>Statistics!V43</f>
        <v>0</v>
      </c>
    </row>
    <row r="1095" spans="2:11">
      <c r="B1095" s="5">
        <f>Statistics!G6</f>
        <v>0</v>
      </c>
      <c r="C1095" s="5">
        <f>Statistics!W43</f>
        <v>0</v>
      </c>
      <c r="I1095" s="5">
        <f>Statistics!G6</f>
        <v>0</v>
      </c>
      <c r="J1095" s="5">
        <f>Statistics!W43</f>
        <v>0</v>
      </c>
    </row>
    <row r="1096" spans="2:11">
      <c r="B1096" s="5">
        <f>Statistics!H6</f>
        <v>0</v>
      </c>
      <c r="C1096" s="5">
        <f>Statistics!X43</f>
        <v>0</v>
      </c>
      <c r="I1096" s="5">
        <f>Statistics!H6</f>
        <v>0</v>
      </c>
      <c r="J1096" s="5">
        <f>Statistics!X43</f>
        <v>0</v>
      </c>
    </row>
    <row r="1097" spans="2:11">
      <c r="B1097" s="5">
        <f>Statistics!I6</f>
        <v>0</v>
      </c>
      <c r="C1097" s="5">
        <f>Statistics!Y43</f>
        <v>0</v>
      </c>
      <c r="I1097" s="5">
        <f>Statistics!I6</f>
        <v>0</v>
      </c>
      <c r="J1097" s="5">
        <f>Statistics!Y43</f>
        <v>0</v>
      </c>
    </row>
    <row r="1098" spans="2:11">
      <c r="B1098" s="5">
        <f>Statistics!J6</f>
        <v>0</v>
      </c>
      <c r="C1098" s="5">
        <f>Statistics!Z43</f>
        <v>0</v>
      </c>
      <c r="I1098" s="5">
        <f>Statistics!J6</f>
        <v>0</v>
      </c>
      <c r="J1098" s="5">
        <f>Statistics!Z43</f>
        <v>0</v>
      </c>
    </row>
    <row r="1099" spans="2:11">
      <c r="B1099" s="5">
        <f>Statistics!K6</f>
        <v>0</v>
      </c>
      <c r="C1099" s="5">
        <f>Statistics!AA43</f>
        <v>0</v>
      </c>
      <c r="I1099" s="5">
        <f>Statistics!K6</f>
        <v>0</v>
      </c>
      <c r="J1099" s="5">
        <f>Statistics!AA43</f>
        <v>0</v>
      </c>
    </row>
    <row r="1100" spans="2:11">
      <c r="B1100" s="5">
        <f>Statistics!L6</f>
        <v>0</v>
      </c>
      <c r="C1100" s="5">
        <f>Statistics!AB43</f>
        <v>0</v>
      </c>
      <c r="I1100" s="5">
        <f>Statistics!L6</f>
        <v>0</v>
      </c>
      <c r="J1100" s="5">
        <f>Statistics!AB43</f>
        <v>0</v>
      </c>
    </row>
    <row r="1101" spans="2:11">
      <c r="B1101" s="5">
        <f>Statistics!M6</f>
        <v>0</v>
      </c>
      <c r="C1101" s="5">
        <f>Statistics!AC43</f>
        <v>0</v>
      </c>
      <c r="I1101" s="5">
        <f>Statistics!M6</f>
        <v>0</v>
      </c>
      <c r="J1101" s="5">
        <f>Statistics!AC43</f>
        <v>0</v>
      </c>
    </row>
    <row r="1102" spans="2:11">
      <c r="B1102" s="5">
        <f>Statistics!N6</f>
        <v>0</v>
      </c>
      <c r="C1102" s="5">
        <f>Statistics!AD43</f>
        <v>0</v>
      </c>
      <c r="I1102" s="5">
        <f>Statistics!N6</f>
        <v>0</v>
      </c>
      <c r="J1102" s="5">
        <f>Statistics!AD43</f>
        <v>0</v>
      </c>
    </row>
    <row r="1103" spans="2:11">
      <c r="B1103" s="10" t="s">
        <v>68</v>
      </c>
      <c r="C1103" s="10">
        <f>Statistics!AE43</f>
        <v>0</v>
      </c>
      <c r="D1103" s="10">
        <f>Statistics!AH43</f>
        <v>0</v>
      </c>
      <c r="I1103" s="10" t="s">
        <v>68</v>
      </c>
      <c r="J1103" s="10">
        <f>Statistics!AE43</f>
        <v>0</v>
      </c>
      <c r="K1103" s="10">
        <f>Statistics!AH43</f>
        <v>0</v>
      </c>
    </row>
    <row r="1104" spans="2:11">
      <c r="B1104" s="10" t="s">
        <v>69</v>
      </c>
      <c r="C1104" s="10">
        <f>Statistics!AG43</f>
        <v>0</v>
      </c>
      <c r="I1104" s="10" t="s">
        <v>69</v>
      </c>
      <c r="J1104" s="10">
        <f>Statistics!AG43</f>
        <v>0</v>
      </c>
    </row>
    <row r="1105" spans="2:12">
      <c r="D1105" s="10" t="s">
        <v>71</v>
      </c>
      <c r="E1105" s="10"/>
      <c r="K1105" s="10" t="s">
        <v>71</v>
      </c>
      <c r="L1105" s="10"/>
    </row>
    <row r="1106" spans="2:12">
      <c r="B1106" s="10" t="s">
        <v>70</v>
      </c>
      <c r="C1106" s="10"/>
      <c r="D1106" s="10" t="s">
        <v>72</v>
      </c>
      <c r="E1106" s="10"/>
      <c r="I1106" s="10" t="s">
        <v>70</v>
      </c>
      <c r="J1106" s="10"/>
      <c r="K1106" s="10" t="s">
        <v>72</v>
      </c>
      <c r="L1106" s="10"/>
    </row>
    <row r="1118" spans="2:12">
      <c r="B1118" s="10" t="s">
        <v>64</v>
      </c>
      <c r="C1118" s="10">
        <f>Statistics!B44</f>
        <v>0</v>
      </c>
      <c r="D1118" s="10"/>
      <c r="I1118" s="10" t="s">
        <v>64</v>
      </c>
      <c r="J1118" s="10">
        <f>Statistics!B44</f>
        <v>0</v>
      </c>
      <c r="K1118" s="10"/>
    </row>
    <row r="1119" spans="2:12">
      <c r="B1119" s="10" t="s">
        <v>65</v>
      </c>
      <c r="C1119" s="10">
        <f>Statistics!A44</f>
        <v>0</v>
      </c>
      <c r="I1119" s="10" t="s">
        <v>65</v>
      </c>
      <c r="J1119" s="10">
        <f>Statistics!A44</f>
        <v>0</v>
      </c>
    </row>
    <row r="1121" spans="2:12">
      <c r="B1121" s="5" t="s">
        <v>66</v>
      </c>
      <c r="C1121" s="5" t="s">
        <v>67</v>
      </c>
      <c r="I1121" s="5" t="s">
        <v>66</v>
      </c>
      <c r="J1121" s="5" t="s">
        <v>67</v>
      </c>
    </row>
    <row r="1122" spans="2:12">
      <c r="B1122" s="5">
        <f>Statistics!D6</f>
        <v>0</v>
      </c>
      <c r="C1122" s="5">
        <f>Statistics!T44</f>
        <v>0</v>
      </c>
      <c r="I1122" s="5">
        <f>Statistics!D6</f>
        <v>0</v>
      </c>
      <c r="J1122" s="5">
        <f>Statistics!T44</f>
        <v>0</v>
      </c>
    </row>
    <row r="1123" spans="2:12">
      <c r="B1123" s="5">
        <f>Statistics!E6</f>
        <v>0</v>
      </c>
      <c r="C1123" s="5">
        <f>Statistics!U44</f>
        <v>0</v>
      </c>
      <c r="I1123" s="5">
        <f>Statistics!E6</f>
        <v>0</v>
      </c>
      <c r="J1123" s="5">
        <f>Statistics!U44</f>
        <v>0</v>
      </c>
    </row>
    <row r="1124" spans="2:12">
      <c r="B1124" s="5">
        <f>Statistics!F6</f>
        <v>0</v>
      </c>
      <c r="C1124" s="5">
        <f>Statistics!V44</f>
        <v>0</v>
      </c>
      <c r="I1124" s="5">
        <f>Statistics!F6</f>
        <v>0</v>
      </c>
      <c r="J1124" s="5">
        <f>Statistics!V44</f>
        <v>0</v>
      </c>
    </row>
    <row r="1125" spans="2:12">
      <c r="B1125" s="5">
        <f>Statistics!G6</f>
        <v>0</v>
      </c>
      <c r="C1125" s="5">
        <f>Statistics!W44</f>
        <v>0</v>
      </c>
      <c r="I1125" s="5">
        <f>Statistics!G6</f>
        <v>0</v>
      </c>
      <c r="J1125" s="5">
        <f>Statistics!W44</f>
        <v>0</v>
      </c>
    </row>
    <row r="1126" spans="2:12">
      <c r="B1126" s="5">
        <f>Statistics!H6</f>
        <v>0</v>
      </c>
      <c r="C1126" s="5">
        <f>Statistics!X44</f>
        <v>0</v>
      </c>
      <c r="I1126" s="5">
        <f>Statistics!H6</f>
        <v>0</v>
      </c>
      <c r="J1126" s="5">
        <f>Statistics!X44</f>
        <v>0</v>
      </c>
    </row>
    <row r="1127" spans="2:12">
      <c r="B1127" s="5">
        <f>Statistics!I6</f>
        <v>0</v>
      </c>
      <c r="C1127" s="5">
        <f>Statistics!Y44</f>
        <v>0</v>
      </c>
      <c r="I1127" s="5">
        <f>Statistics!I6</f>
        <v>0</v>
      </c>
      <c r="J1127" s="5">
        <f>Statistics!Y44</f>
        <v>0</v>
      </c>
    </row>
    <row r="1128" spans="2:12">
      <c r="B1128" s="5">
        <f>Statistics!J6</f>
        <v>0</v>
      </c>
      <c r="C1128" s="5">
        <f>Statistics!Z44</f>
        <v>0</v>
      </c>
      <c r="I1128" s="5">
        <f>Statistics!J6</f>
        <v>0</v>
      </c>
      <c r="J1128" s="5">
        <f>Statistics!Z44</f>
        <v>0</v>
      </c>
    </row>
    <row r="1129" spans="2:12">
      <c r="B1129" s="5">
        <f>Statistics!K6</f>
        <v>0</v>
      </c>
      <c r="C1129" s="5">
        <f>Statistics!AA44</f>
        <v>0</v>
      </c>
      <c r="I1129" s="5">
        <f>Statistics!K6</f>
        <v>0</v>
      </c>
      <c r="J1129" s="5">
        <f>Statistics!AA44</f>
        <v>0</v>
      </c>
    </row>
    <row r="1130" spans="2:12">
      <c r="B1130" s="5">
        <f>Statistics!L6</f>
        <v>0</v>
      </c>
      <c r="C1130" s="5">
        <f>Statistics!AB44</f>
        <v>0</v>
      </c>
      <c r="I1130" s="5">
        <f>Statistics!L6</f>
        <v>0</v>
      </c>
      <c r="J1130" s="5">
        <f>Statistics!AB44</f>
        <v>0</v>
      </c>
    </row>
    <row r="1131" spans="2:12">
      <c r="B1131" s="5">
        <f>Statistics!M6</f>
        <v>0</v>
      </c>
      <c r="C1131" s="5">
        <f>Statistics!AC44</f>
        <v>0</v>
      </c>
      <c r="I1131" s="5">
        <f>Statistics!M6</f>
        <v>0</v>
      </c>
      <c r="J1131" s="5">
        <f>Statistics!AC44</f>
        <v>0</v>
      </c>
    </row>
    <row r="1132" spans="2:12">
      <c r="B1132" s="5">
        <f>Statistics!N6</f>
        <v>0</v>
      </c>
      <c r="C1132" s="5">
        <f>Statistics!AD44</f>
        <v>0</v>
      </c>
      <c r="I1132" s="5">
        <f>Statistics!N6</f>
        <v>0</v>
      </c>
      <c r="J1132" s="5">
        <f>Statistics!AD44</f>
        <v>0</v>
      </c>
    </row>
    <row r="1133" spans="2:12">
      <c r="B1133" s="10" t="s">
        <v>68</v>
      </c>
      <c r="C1133" s="10">
        <f>Statistics!AE44</f>
        <v>0</v>
      </c>
      <c r="D1133" s="10">
        <f>Statistics!AH44</f>
        <v>0</v>
      </c>
      <c r="I1133" s="10" t="s">
        <v>68</v>
      </c>
      <c r="J1133" s="10">
        <f>Statistics!AE44</f>
        <v>0</v>
      </c>
      <c r="K1133" s="10">
        <f>Statistics!AH44</f>
        <v>0</v>
      </c>
    </row>
    <row r="1134" spans="2:12">
      <c r="B1134" s="10" t="s">
        <v>69</v>
      </c>
      <c r="C1134" s="10">
        <f>Statistics!AG44</f>
        <v>0</v>
      </c>
      <c r="I1134" s="10" t="s">
        <v>69</v>
      </c>
      <c r="J1134" s="10">
        <f>Statistics!AG44</f>
        <v>0</v>
      </c>
    </row>
    <row r="1135" spans="2:12">
      <c r="D1135" s="10" t="s">
        <v>71</v>
      </c>
      <c r="E1135" s="10"/>
      <c r="K1135" s="10" t="s">
        <v>71</v>
      </c>
      <c r="L1135" s="10"/>
    </row>
    <row r="1136" spans="2:12">
      <c r="B1136" s="10" t="s">
        <v>70</v>
      </c>
      <c r="C1136" s="10"/>
      <c r="D1136" s="10" t="s">
        <v>72</v>
      </c>
      <c r="E1136" s="10"/>
      <c r="I1136" s="10" t="s">
        <v>70</v>
      </c>
      <c r="J1136" s="10"/>
      <c r="K1136" s="10" t="s">
        <v>72</v>
      </c>
      <c r="L1136" s="10"/>
    </row>
    <row r="1148" spans="2:11">
      <c r="B1148" s="10" t="s">
        <v>64</v>
      </c>
      <c r="C1148" s="10">
        <f>Statistics!B45</f>
        <v>0</v>
      </c>
      <c r="D1148" s="10"/>
      <c r="I1148" s="10" t="s">
        <v>64</v>
      </c>
      <c r="J1148" s="10">
        <f>Statistics!B45</f>
        <v>0</v>
      </c>
      <c r="K1148" s="10"/>
    </row>
    <row r="1149" spans="2:11">
      <c r="B1149" s="10" t="s">
        <v>65</v>
      </c>
      <c r="C1149" s="10">
        <f>Statistics!A45</f>
        <v>0</v>
      </c>
      <c r="I1149" s="10" t="s">
        <v>65</v>
      </c>
      <c r="J1149" s="10">
        <f>Statistics!A45</f>
        <v>0</v>
      </c>
    </row>
    <row r="1151" spans="2:11">
      <c r="B1151" s="5" t="s">
        <v>66</v>
      </c>
      <c r="C1151" s="5" t="s">
        <v>67</v>
      </c>
      <c r="I1151" s="5" t="s">
        <v>66</v>
      </c>
      <c r="J1151" s="5" t="s">
        <v>67</v>
      </c>
    </row>
    <row r="1152" spans="2:11">
      <c r="B1152" s="5">
        <f>Statistics!D6</f>
        <v>0</v>
      </c>
      <c r="C1152" s="5">
        <f>Statistics!T45</f>
        <v>0</v>
      </c>
      <c r="I1152" s="5">
        <f>Statistics!D6</f>
        <v>0</v>
      </c>
      <c r="J1152" s="5">
        <f>Statistics!T45</f>
        <v>0</v>
      </c>
    </row>
    <row r="1153" spans="2:12">
      <c r="B1153" s="5">
        <f>Statistics!E6</f>
        <v>0</v>
      </c>
      <c r="C1153" s="5">
        <f>Statistics!U45</f>
        <v>0</v>
      </c>
      <c r="I1153" s="5">
        <f>Statistics!E6</f>
        <v>0</v>
      </c>
      <c r="J1153" s="5">
        <f>Statistics!U45</f>
        <v>0</v>
      </c>
    </row>
    <row r="1154" spans="2:12">
      <c r="B1154" s="5">
        <f>Statistics!F6</f>
        <v>0</v>
      </c>
      <c r="C1154" s="5">
        <f>Statistics!V45</f>
        <v>0</v>
      </c>
      <c r="I1154" s="5">
        <f>Statistics!F6</f>
        <v>0</v>
      </c>
      <c r="J1154" s="5">
        <f>Statistics!V45</f>
        <v>0</v>
      </c>
    </row>
    <row r="1155" spans="2:12">
      <c r="B1155" s="5">
        <f>Statistics!G6</f>
        <v>0</v>
      </c>
      <c r="C1155" s="5">
        <f>Statistics!W45</f>
        <v>0</v>
      </c>
      <c r="I1155" s="5">
        <f>Statistics!G6</f>
        <v>0</v>
      </c>
      <c r="J1155" s="5">
        <f>Statistics!W45</f>
        <v>0</v>
      </c>
    </row>
    <row r="1156" spans="2:12">
      <c r="B1156" s="5">
        <f>Statistics!H6</f>
        <v>0</v>
      </c>
      <c r="C1156" s="5">
        <f>Statistics!X45</f>
        <v>0</v>
      </c>
      <c r="I1156" s="5">
        <f>Statistics!H6</f>
        <v>0</v>
      </c>
      <c r="J1156" s="5">
        <f>Statistics!X45</f>
        <v>0</v>
      </c>
    </row>
    <row r="1157" spans="2:12">
      <c r="B1157" s="5">
        <f>Statistics!I6</f>
        <v>0</v>
      </c>
      <c r="C1157" s="5">
        <f>Statistics!Y45</f>
        <v>0</v>
      </c>
      <c r="I1157" s="5">
        <f>Statistics!I6</f>
        <v>0</v>
      </c>
      <c r="J1157" s="5">
        <f>Statistics!Y45</f>
        <v>0</v>
      </c>
    </row>
    <row r="1158" spans="2:12">
      <c r="B1158" s="5">
        <f>Statistics!J6</f>
        <v>0</v>
      </c>
      <c r="C1158" s="5">
        <f>Statistics!Z45</f>
        <v>0</v>
      </c>
      <c r="I1158" s="5">
        <f>Statistics!J6</f>
        <v>0</v>
      </c>
      <c r="J1158" s="5">
        <f>Statistics!Z45</f>
        <v>0</v>
      </c>
    </row>
    <row r="1159" spans="2:12">
      <c r="B1159" s="5">
        <f>Statistics!K6</f>
        <v>0</v>
      </c>
      <c r="C1159" s="5">
        <f>Statistics!AA45</f>
        <v>0</v>
      </c>
      <c r="I1159" s="5">
        <f>Statistics!K6</f>
        <v>0</v>
      </c>
      <c r="J1159" s="5">
        <f>Statistics!AA45</f>
        <v>0</v>
      </c>
    </row>
    <row r="1160" spans="2:12">
      <c r="B1160" s="5">
        <f>Statistics!L6</f>
        <v>0</v>
      </c>
      <c r="C1160" s="5">
        <f>Statistics!AB45</f>
        <v>0</v>
      </c>
      <c r="I1160" s="5">
        <f>Statistics!L6</f>
        <v>0</v>
      </c>
      <c r="J1160" s="5">
        <f>Statistics!AB45</f>
        <v>0</v>
      </c>
    </row>
    <row r="1161" spans="2:12">
      <c r="B1161" s="5">
        <f>Statistics!M6</f>
        <v>0</v>
      </c>
      <c r="C1161" s="5">
        <f>Statistics!AC45</f>
        <v>0</v>
      </c>
      <c r="I1161" s="5">
        <f>Statistics!M6</f>
        <v>0</v>
      </c>
      <c r="J1161" s="5">
        <f>Statistics!AC45</f>
        <v>0</v>
      </c>
    </row>
    <row r="1162" spans="2:12">
      <c r="B1162" s="5">
        <f>Statistics!N6</f>
        <v>0</v>
      </c>
      <c r="C1162" s="5">
        <f>Statistics!AD45</f>
        <v>0</v>
      </c>
      <c r="I1162" s="5">
        <f>Statistics!N6</f>
        <v>0</v>
      </c>
      <c r="J1162" s="5">
        <f>Statistics!AD45</f>
        <v>0</v>
      </c>
    </row>
    <row r="1163" spans="2:12">
      <c r="B1163" s="10" t="s">
        <v>68</v>
      </c>
      <c r="C1163" s="10">
        <f>Statistics!AE45</f>
        <v>0</v>
      </c>
      <c r="D1163" s="10">
        <f>Statistics!AH45</f>
        <v>0</v>
      </c>
      <c r="I1163" s="10" t="s">
        <v>68</v>
      </c>
      <c r="J1163" s="10">
        <f>Statistics!AE45</f>
        <v>0</v>
      </c>
      <c r="K1163" s="10">
        <f>Statistics!AH45</f>
        <v>0</v>
      </c>
    </row>
    <row r="1164" spans="2:12">
      <c r="B1164" s="10" t="s">
        <v>69</v>
      </c>
      <c r="C1164" s="10">
        <f>Statistics!AG45</f>
        <v>0</v>
      </c>
      <c r="I1164" s="10" t="s">
        <v>69</v>
      </c>
      <c r="J1164" s="10">
        <f>Statistics!AG45</f>
        <v>0</v>
      </c>
    </row>
    <row r="1165" spans="2:12">
      <c r="D1165" s="10" t="s">
        <v>71</v>
      </c>
      <c r="E1165" s="10"/>
      <c r="K1165" s="10" t="s">
        <v>71</v>
      </c>
      <c r="L1165" s="10"/>
    </row>
    <row r="1166" spans="2:12">
      <c r="B1166" s="10" t="s">
        <v>70</v>
      </c>
      <c r="C1166" s="10"/>
      <c r="D1166" s="10" t="s">
        <v>72</v>
      </c>
      <c r="E1166" s="10"/>
      <c r="I1166" s="10" t="s">
        <v>70</v>
      </c>
      <c r="J1166" s="10"/>
      <c r="K1166" s="10" t="s">
        <v>72</v>
      </c>
      <c r="L1166" s="10"/>
    </row>
    <row r="1178" spans="2:11">
      <c r="B1178" s="10" t="s">
        <v>64</v>
      </c>
      <c r="C1178" s="10">
        <f>Statistics!B46</f>
        <v>0</v>
      </c>
      <c r="D1178" s="10"/>
      <c r="I1178" s="10" t="s">
        <v>64</v>
      </c>
      <c r="J1178" s="10">
        <f>Statistics!B46</f>
        <v>0</v>
      </c>
      <c r="K1178" s="10"/>
    </row>
    <row r="1179" spans="2:11">
      <c r="B1179" s="10" t="s">
        <v>65</v>
      </c>
      <c r="C1179" s="10">
        <f>Statistics!A46</f>
        <v>0</v>
      </c>
      <c r="I1179" s="10" t="s">
        <v>65</v>
      </c>
      <c r="J1179" s="10">
        <f>Statistics!A46</f>
        <v>0</v>
      </c>
    </row>
    <row r="1181" spans="2:11">
      <c r="B1181" s="5" t="s">
        <v>66</v>
      </c>
      <c r="C1181" s="5" t="s">
        <v>67</v>
      </c>
      <c r="I1181" s="5" t="s">
        <v>66</v>
      </c>
      <c r="J1181" s="5" t="s">
        <v>67</v>
      </c>
    </row>
    <row r="1182" spans="2:11">
      <c r="B1182" s="5">
        <f>Statistics!D6</f>
        <v>0</v>
      </c>
      <c r="C1182" s="5">
        <f>Statistics!T46</f>
        <v>0</v>
      </c>
      <c r="I1182" s="5">
        <f>Statistics!D6</f>
        <v>0</v>
      </c>
      <c r="J1182" s="5">
        <f>Statistics!T46</f>
        <v>0</v>
      </c>
    </row>
    <row r="1183" spans="2:11">
      <c r="B1183" s="5">
        <f>Statistics!E6</f>
        <v>0</v>
      </c>
      <c r="C1183" s="5">
        <f>Statistics!U46</f>
        <v>0</v>
      </c>
      <c r="I1183" s="5">
        <f>Statistics!E6</f>
        <v>0</v>
      </c>
      <c r="J1183" s="5">
        <f>Statistics!U46</f>
        <v>0</v>
      </c>
    </row>
    <row r="1184" spans="2:11">
      <c r="B1184" s="5">
        <f>Statistics!F6</f>
        <v>0</v>
      </c>
      <c r="C1184" s="5">
        <f>Statistics!V46</f>
        <v>0</v>
      </c>
      <c r="I1184" s="5">
        <f>Statistics!F6</f>
        <v>0</v>
      </c>
      <c r="J1184" s="5">
        <f>Statistics!V46</f>
        <v>0</v>
      </c>
    </row>
    <row r="1185" spans="2:12">
      <c r="B1185" s="5">
        <f>Statistics!G6</f>
        <v>0</v>
      </c>
      <c r="C1185" s="5">
        <f>Statistics!W46</f>
        <v>0</v>
      </c>
      <c r="I1185" s="5">
        <f>Statistics!G6</f>
        <v>0</v>
      </c>
      <c r="J1185" s="5">
        <f>Statistics!W46</f>
        <v>0</v>
      </c>
    </row>
    <row r="1186" spans="2:12">
      <c r="B1186" s="5">
        <f>Statistics!H6</f>
        <v>0</v>
      </c>
      <c r="C1186" s="5">
        <f>Statistics!X46</f>
        <v>0</v>
      </c>
      <c r="I1186" s="5">
        <f>Statistics!H6</f>
        <v>0</v>
      </c>
      <c r="J1186" s="5">
        <f>Statistics!X46</f>
        <v>0</v>
      </c>
    </row>
    <row r="1187" spans="2:12">
      <c r="B1187" s="5">
        <f>Statistics!I6</f>
        <v>0</v>
      </c>
      <c r="C1187" s="5">
        <f>Statistics!Y46</f>
        <v>0</v>
      </c>
      <c r="I1187" s="5">
        <f>Statistics!I6</f>
        <v>0</v>
      </c>
      <c r="J1187" s="5">
        <f>Statistics!Y46</f>
        <v>0</v>
      </c>
    </row>
    <row r="1188" spans="2:12">
      <c r="B1188" s="5">
        <f>Statistics!J6</f>
        <v>0</v>
      </c>
      <c r="C1188" s="5">
        <f>Statistics!Z46</f>
        <v>0</v>
      </c>
      <c r="I1188" s="5">
        <f>Statistics!J6</f>
        <v>0</v>
      </c>
      <c r="J1188" s="5">
        <f>Statistics!Z46</f>
        <v>0</v>
      </c>
    </row>
    <row r="1189" spans="2:12">
      <c r="B1189" s="5">
        <f>Statistics!K6</f>
        <v>0</v>
      </c>
      <c r="C1189" s="5">
        <f>Statistics!AA46</f>
        <v>0</v>
      </c>
      <c r="I1189" s="5">
        <f>Statistics!K6</f>
        <v>0</v>
      </c>
      <c r="J1189" s="5">
        <f>Statistics!AA46</f>
        <v>0</v>
      </c>
    </row>
    <row r="1190" spans="2:12">
      <c r="B1190" s="5">
        <f>Statistics!L6</f>
        <v>0</v>
      </c>
      <c r="C1190" s="5">
        <f>Statistics!AB46</f>
        <v>0</v>
      </c>
      <c r="I1190" s="5">
        <f>Statistics!L6</f>
        <v>0</v>
      </c>
      <c r="J1190" s="5">
        <f>Statistics!AB46</f>
        <v>0</v>
      </c>
    </row>
    <row r="1191" spans="2:12">
      <c r="B1191" s="5">
        <f>Statistics!M6</f>
        <v>0</v>
      </c>
      <c r="C1191" s="5">
        <f>Statistics!AC46</f>
        <v>0</v>
      </c>
      <c r="I1191" s="5">
        <f>Statistics!M6</f>
        <v>0</v>
      </c>
      <c r="J1191" s="5">
        <f>Statistics!AC46</f>
        <v>0</v>
      </c>
    </row>
    <row r="1192" spans="2:12">
      <c r="B1192" s="5">
        <f>Statistics!N6</f>
        <v>0</v>
      </c>
      <c r="C1192" s="5">
        <f>Statistics!AD46</f>
        <v>0</v>
      </c>
      <c r="I1192" s="5">
        <f>Statistics!N6</f>
        <v>0</v>
      </c>
      <c r="J1192" s="5">
        <f>Statistics!AD46</f>
        <v>0</v>
      </c>
    </row>
    <row r="1193" spans="2:12">
      <c r="B1193" s="10" t="s">
        <v>68</v>
      </c>
      <c r="C1193" s="10">
        <f>Statistics!AE46</f>
        <v>0</v>
      </c>
      <c r="D1193" s="10">
        <f>Statistics!AH46</f>
        <v>0</v>
      </c>
      <c r="I1193" s="10" t="s">
        <v>68</v>
      </c>
      <c r="J1193" s="10">
        <f>Statistics!AE46</f>
        <v>0</v>
      </c>
      <c r="K1193" s="10">
        <f>Statistics!AH46</f>
        <v>0</v>
      </c>
    </row>
    <row r="1194" spans="2:12">
      <c r="B1194" s="10" t="s">
        <v>69</v>
      </c>
      <c r="C1194" s="10">
        <f>Statistics!AG46</f>
        <v>0</v>
      </c>
      <c r="I1194" s="10" t="s">
        <v>69</v>
      </c>
      <c r="J1194" s="10">
        <f>Statistics!AG46</f>
        <v>0</v>
      </c>
    </row>
    <row r="1195" spans="2:12">
      <c r="D1195" s="10" t="s">
        <v>71</v>
      </c>
      <c r="E1195" s="10"/>
      <c r="K1195" s="10" t="s">
        <v>71</v>
      </c>
      <c r="L1195" s="10"/>
    </row>
    <row r="1196" spans="2:12">
      <c r="B1196" s="10" t="s">
        <v>70</v>
      </c>
      <c r="C1196" s="10"/>
      <c r="D1196" s="10" t="s">
        <v>72</v>
      </c>
      <c r="E1196" s="10"/>
      <c r="I1196" s="10" t="s">
        <v>70</v>
      </c>
      <c r="J1196" s="10"/>
      <c r="K1196" s="10" t="s">
        <v>72</v>
      </c>
      <c r="L1196" s="10"/>
    </row>
    <row r="1208" spans="2:11">
      <c r="B1208" s="10" t="s">
        <v>64</v>
      </c>
      <c r="C1208" s="10">
        <f>Statistics!B47</f>
        <v>0</v>
      </c>
      <c r="D1208" s="10"/>
      <c r="I1208" s="10" t="s">
        <v>64</v>
      </c>
      <c r="J1208" s="10">
        <f>Statistics!B47</f>
        <v>0</v>
      </c>
      <c r="K1208" s="10"/>
    </row>
    <row r="1209" spans="2:11">
      <c r="B1209" s="10" t="s">
        <v>65</v>
      </c>
      <c r="C1209" s="10">
        <f>Statistics!A47</f>
        <v>0</v>
      </c>
      <c r="I1209" s="10" t="s">
        <v>65</v>
      </c>
      <c r="J1209" s="10">
        <f>Statistics!A47</f>
        <v>0</v>
      </c>
    </row>
    <row r="1211" spans="2:11">
      <c r="B1211" s="5" t="s">
        <v>66</v>
      </c>
      <c r="C1211" s="5" t="s">
        <v>67</v>
      </c>
      <c r="I1211" s="5" t="s">
        <v>66</v>
      </c>
      <c r="J1211" s="5" t="s">
        <v>67</v>
      </c>
    </row>
    <row r="1212" spans="2:11">
      <c r="B1212" s="5">
        <f>Statistics!D6</f>
        <v>0</v>
      </c>
      <c r="C1212" s="5">
        <f>Statistics!T47</f>
        <v>0</v>
      </c>
      <c r="I1212" s="5">
        <f>Statistics!D6</f>
        <v>0</v>
      </c>
      <c r="J1212" s="5">
        <f>Statistics!T47</f>
        <v>0</v>
      </c>
    </row>
    <row r="1213" spans="2:11">
      <c r="B1213" s="5">
        <f>Statistics!E6</f>
        <v>0</v>
      </c>
      <c r="C1213" s="5">
        <f>Statistics!U47</f>
        <v>0</v>
      </c>
      <c r="I1213" s="5">
        <f>Statistics!E6</f>
        <v>0</v>
      </c>
      <c r="J1213" s="5">
        <f>Statistics!U47</f>
        <v>0</v>
      </c>
    </row>
    <row r="1214" spans="2:11">
      <c r="B1214" s="5">
        <f>Statistics!F6</f>
        <v>0</v>
      </c>
      <c r="C1214" s="5">
        <f>Statistics!V47</f>
        <v>0</v>
      </c>
      <c r="I1214" s="5">
        <f>Statistics!F6</f>
        <v>0</v>
      </c>
      <c r="J1214" s="5">
        <f>Statistics!V47</f>
        <v>0</v>
      </c>
    </row>
    <row r="1215" spans="2:11">
      <c r="B1215" s="5">
        <f>Statistics!G6</f>
        <v>0</v>
      </c>
      <c r="C1215" s="5">
        <f>Statistics!W47</f>
        <v>0</v>
      </c>
      <c r="I1215" s="5">
        <f>Statistics!G6</f>
        <v>0</v>
      </c>
      <c r="J1215" s="5">
        <f>Statistics!W47</f>
        <v>0</v>
      </c>
    </row>
    <row r="1216" spans="2:11">
      <c r="B1216" s="5">
        <f>Statistics!H6</f>
        <v>0</v>
      </c>
      <c r="C1216" s="5">
        <f>Statistics!X47</f>
        <v>0</v>
      </c>
      <c r="I1216" s="5">
        <f>Statistics!H6</f>
        <v>0</v>
      </c>
      <c r="J1216" s="5">
        <f>Statistics!X47</f>
        <v>0</v>
      </c>
    </row>
    <row r="1217" spans="2:12">
      <c r="B1217" s="5">
        <f>Statistics!I6</f>
        <v>0</v>
      </c>
      <c r="C1217" s="5">
        <f>Statistics!Y47</f>
        <v>0</v>
      </c>
      <c r="I1217" s="5">
        <f>Statistics!I6</f>
        <v>0</v>
      </c>
      <c r="J1217" s="5">
        <f>Statistics!Y47</f>
        <v>0</v>
      </c>
    </row>
    <row r="1218" spans="2:12">
      <c r="B1218" s="5">
        <f>Statistics!J6</f>
        <v>0</v>
      </c>
      <c r="C1218" s="5">
        <f>Statistics!Z47</f>
        <v>0</v>
      </c>
      <c r="I1218" s="5">
        <f>Statistics!J6</f>
        <v>0</v>
      </c>
      <c r="J1218" s="5">
        <f>Statistics!Z47</f>
        <v>0</v>
      </c>
    </row>
    <row r="1219" spans="2:12">
      <c r="B1219" s="5">
        <f>Statistics!K6</f>
        <v>0</v>
      </c>
      <c r="C1219" s="5">
        <f>Statistics!AA47</f>
        <v>0</v>
      </c>
      <c r="I1219" s="5">
        <f>Statistics!K6</f>
        <v>0</v>
      </c>
      <c r="J1219" s="5">
        <f>Statistics!AA47</f>
        <v>0</v>
      </c>
    </row>
    <row r="1220" spans="2:12">
      <c r="B1220" s="5">
        <f>Statistics!L6</f>
        <v>0</v>
      </c>
      <c r="C1220" s="5">
        <f>Statistics!AB47</f>
        <v>0</v>
      </c>
      <c r="I1220" s="5">
        <f>Statistics!L6</f>
        <v>0</v>
      </c>
      <c r="J1220" s="5">
        <f>Statistics!AB47</f>
        <v>0</v>
      </c>
    </row>
    <row r="1221" spans="2:12">
      <c r="B1221" s="5">
        <f>Statistics!M6</f>
        <v>0</v>
      </c>
      <c r="C1221" s="5">
        <f>Statistics!AC47</f>
        <v>0</v>
      </c>
      <c r="I1221" s="5">
        <f>Statistics!M6</f>
        <v>0</v>
      </c>
      <c r="J1221" s="5">
        <f>Statistics!AC47</f>
        <v>0</v>
      </c>
    </row>
    <row r="1222" spans="2:12">
      <c r="B1222" s="5">
        <f>Statistics!N6</f>
        <v>0</v>
      </c>
      <c r="C1222" s="5">
        <f>Statistics!AD47</f>
        <v>0</v>
      </c>
      <c r="I1222" s="5">
        <f>Statistics!N6</f>
        <v>0</v>
      </c>
      <c r="J1222" s="5">
        <f>Statistics!AD47</f>
        <v>0</v>
      </c>
    </row>
    <row r="1223" spans="2:12">
      <c r="B1223" s="10" t="s">
        <v>68</v>
      </c>
      <c r="C1223" s="10">
        <f>Statistics!AE47</f>
        <v>0</v>
      </c>
      <c r="D1223" s="10">
        <f>Statistics!AH47</f>
        <v>0</v>
      </c>
      <c r="I1223" s="10" t="s">
        <v>68</v>
      </c>
      <c r="J1223" s="10">
        <f>Statistics!AE47</f>
        <v>0</v>
      </c>
      <c r="K1223" s="10">
        <f>Statistics!AH47</f>
        <v>0</v>
      </c>
    </row>
    <row r="1224" spans="2:12">
      <c r="B1224" s="10" t="s">
        <v>69</v>
      </c>
      <c r="C1224" s="10">
        <f>Statistics!AG47</f>
        <v>0</v>
      </c>
      <c r="I1224" s="10" t="s">
        <v>69</v>
      </c>
      <c r="J1224" s="10">
        <f>Statistics!AG47</f>
        <v>0</v>
      </c>
    </row>
    <row r="1225" spans="2:12">
      <c r="D1225" s="10" t="s">
        <v>71</v>
      </c>
      <c r="E1225" s="10"/>
      <c r="K1225" s="10" t="s">
        <v>71</v>
      </c>
      <c r="L1225" s="10"/>
    </row>
    <row r="1226" spans="2:12">
      <c r="B1226" s="10" t="s">
        <v>70</v>
      </c>
      <c r="C1226" s="10"/>
      <c r="D1226" s="10" t="s">
        <v>72</v>
      </c>
      <c r="E1226" s="10"/>
      <c r="I1226" s="10" t="s">
        <v>70</v>
      </c>
      <c r="J1226" s="10"/>
      <c r="K1226" s="10" t="s">
        <v>72</v>
      </c>
      <c r="L1226" s="10"/>
    </row>
    <row r="1238" spans="2:11">
      <c r="B1238" s="10" t="s">
        <v>64</v>
      </c>
      <c r="C1238" s="10">
        <f>Statistics!B48</f>
        <v>0</v>
      </c>
      <c r="D1238" s="10"/>
      <c r="I1238" s="10" t="s">
        <v>64</v>
      </c>
      <c r="J1238" s="10">
        <f>Statistics!B48</f>
        <v>0</v>
      </c>
      <c r="K1238" s="10"/>
    </row>
    <row r="1239" spans="2:11">
      <c r="B1239" s="10" t="s">
        <v>65</v>
      </c>
      <c r="C1239" s="10">
        <f>Statistics!A48</f>
        <v>0</v>
      </c>
      <c r="I1239" s="10" t="s">
        <v>65</v>
      </c>
      <c r="J1239" s="10">
        <f>Statistics!A48</f>
        <v>0</v>
      </c>
    </row>
    <row r="1241" spans="2:11">
      <c r="B1241" s="5" t="s">
        <v>66</v>
      </c>
      <c r="C1241" s="5" t="s">
        <v>67</v>
      </c>
      <c r="I1241" s="5" t="s">
        <v>66</v>
      </c>
      <c r="J1241" s="5" t="s">
        <v>67</v>
      </c>
    </row>
    <row r="1242" spans="2:11">
      <c r="B1242" s="5">
        <f>Statistics!D6</f>
        <v>0</v>
      </c>
      <c r="C1242" s="5">
        <f>Statistics!T48</f>
        <v>0</v>
      </c>
      <c r="I1242" s="5">
        <f>Statistics!D6</f>
        <v>0</v>
      </c>
      <c r="J1242" s="5">
        <f>Statistics!T48</f>
        <v>0</v>
      </c>
    </row>
    <row r="1243" spans="2:11">
      <c r="B1243" s="5">
        <f>Statistics!E6</f>
        <v>0</v>
      </c>
      <c r="C1243" s="5">
        <f>Statistics!U48</f>
        <v>0</v>
      </c>
      <c r="I1243" s="5">
        <f>Statistics!E6</f>
        <v>0</v>
      </c>
      <c r="J1243" s="5">
        <f>Statistics!U48</f>
        <v>0</v>
      </c>
    </row>
    <row r="1244" spans="2:11">
      <c r="B1244" s="5">
        <f>Statistics!F6</f>
        <v>0</v>
      </c>
      <c r="C1244" s="5">
        <f>Statistics!V48</f>
        <v>0</v>
      </c>
      <c r="I1244" s="5">
        <f>Statistics!F6</f>
        <v>0</v>
      </c>
      <c r="J1244" s="5">
        <f>Statistics!V48</f>
        <v>0</v>
      </c>
    </row>
    <row r="1245" spans="2:11">
      <c r="B1245" s="5">
        <f>Statistics!G6</f>
        <v>0</v>
      </c>
      <c r="C1245" s="5">
        <f>Statistics!W48</f>
        <v>0</v>
      </c>
      <c r="I1245" s="5">
        <f>Statistics!G6</f>
        <v>0</v>
      </c>
      <c r="J1245" s="5">
        <f>Statistics!W48</f>
        <v>0</v>
      </c>
    </row>
    <row r="1246" spans="2:11">
      <c r="B1246" s="5">
        <f>Statistics!H6</f>
        <v>0</v>
      </c>
      <c r="C1246" s="5">
        <f>Statistics!X48</f>
        <v>0</v>
      </c>
      <c r="I1246" s="5">
        <f>Statistics!H6</f>
        <v>0</v>
      </c>
      <c r="J1246" s="5">
        <f>Statistics!X48</f>
        <v>0</v>
      </c>
    </row>
    <row r="1247" spans="2:11">
      <c r="B1247" s="5">
        <f>Statistics!I6</f>
        <v>0</v>
      </c>
      <c r="C1247" s="5">
        <f>Statistics!Y48</f>
        <v>0</v>
      </c>
      <c r="I1247" s="5">
        <f>Statistics!I6</f>
        <v>0</v>
      </c>
      <c r="J1247" s="5">
        <f>Statistics!Y48</f>
        <v>0</v>
      </c>
    </row>
    <row r="1248" spans="2:11">
      <c r="B1248" s="5">
        <f>Statistics!J6</f>
        <v>0</v>
      </c>
      <c r="C1248" s="5">
        <f>Statistics!Z48</f>
        <v>0</v>
      </c>
      <c r="I1248" s="5">
        <f>Statistics!J6</f>
        <v>0</v>
      </c>
      <c r="J1248" s="5">
        <f>Statistics!Z48</f>
        <v>0</v>
      </c>
    </row>
    <row r="1249" spans="2:12">
      <c r="B1249" s="5">
        <f>Statistics!K6</f>
        <v>0</v>
      </c>
      <c r="C1249" s="5">
        <f>Statistics!AA48</f>
        <v>0</v>
      </c>
      <c r="I1249" s="5">
        <f>Statistics!K6</f>
        <v>0</v>
      </c>
      <c r="J1249" s="5">
        <f>Statistics!AA48</f>
        <v>0</v>
      </c>
    </row>
    <row r="1250" spans="2:12">
      <c r="B1250" s="5">
        <f>Statistics!L6</f>
        <v>0</v>
      </c>
      <c r="C1250" s="5">
        <f>Statistics!AB48</f>
        <v>0</v>
      </c>
      <c r="I1250" s="5">
        <f>Statistics!L6</f>
        <v>0</v>
      </c>
      <c r="J1250" s="5">
        <f>Statistics!AB48</f>
        <v>0</v>
      </c>
    </row>
    <row r="1251" spans="2:12">
      <c r="B1251" s="5">
        <f>Statistics!M6</f>
        <v>0</v>
      </c>
      <c r="C1251" s="5">
        <f>Statistics!AC48</f>
        <v>0</v>
      </c>
      <c r="I1251" s="5">
        <f>Statistics!M6</f>
        <v>0</v>
      </c>
      <c r="J1251" s="5">
        <f>Statistics!AC48</f>
        <v>0</v>
      </c>
    </row>
    <row r="1252" spans="2:12">
      <c r="B1252" s="5">
        <f>Statistics!N6</f>
        <v>0</v>
      </c>
      <c r="C1252" s="5">
        <f>Statistics!AD48</f>
        <v>0</v>
      </c>
      <c r="I1252" s="5">
        <f>Statistics!N6</f>
        <v>0</v>
      </c>
      <c r="J1252" s="5">
        <f>Statistics!AD48</f>
        <v>0</v>
      </c>
    </row>
    <row r="1253" spans="2:12">
      <c r="B1253" s="10" t="s">
        <v>68</v>
      </c>
      <c r="C1253" s="10">
        <f>Statistics!AE48</f>
        <v>0</v>
      </c>
      <c r="D1253" s="10">
        <f>Statistics!AH48</f>
        <v>0</v>
      </c>
      <c r="I1253" s="10" t="s">
        <v>68</v>
      </c>
      <c r="J1253" s="10">
        <f>Statistics!AE48</f>
        <v>0</v>
      </c>
      <c r="K1253" s="10">
        <f>Statistics!AH48</f>
        <v>0</v>
      </c>
    </row>
    <row r="1254" spans="2:12">
      <c r="B1254" s="10" t="s">
        <v>69</v>
      </c>
      <c r="C1254" s="10">
        <f>Statistics!AG48</f>
        <v>0</v>
      </c>
      <c r="I1254" s="10" t="s">
        <v>69</v>
      </c>
      <c r="J1254" s="10">
        <f>Statistics!AG48</f>
        <v>0</v>
      </c>
    </row>
    <row r="1255" spans="2:12">
      <c r="D1255" s="10" t="s">
        <v>71</v>
      </c>
      <c r="E1255" s="10"/>
      <c r="K1255" s="10" t="s">
        <v>71</v>
      </c>
      <c r="L1255" s="10"/>
    </row>
    <row r="1256" spans="2:12">
      <c r="B1256" s="10" t="s">
        <v>70</v>
      </c>
      <c r="C1256" s="10"/>
      <c r="D1256" s="10" t="s">
        <v>72</v>
      </c>
      <c r="E1256" s="10"/>
      <c r="I1256" s="10" t="s">
        <v>70</v>
      </c>
      <c r="J1256" s="10"/>
      <c r="K1256" s="10" t="s">
        <v>72</v>
      </c>
      <c r="L1256" s="10"/>
    </row>
    <row r="1268" spans="2:11">
      <c r="B1268" s="10" t="s">
        <v>64</v>
      </c>
      <c r="C1268" s="10">
        <f>Statistics!B49</f>
        <v>0</v>
      </c>
      <c r="D1268" s="10"/>
      <c r="I1268" s="10" t="s">
        <v>64</v>
      </c>
      <c r="J1268" s="10">
        <f>Statistics!B49</f>
        <v>0</v>
      </c>
      <c r="K1268" s="10"/>
    </row>
    <row r="1269" spans="2:11">
      <c r="B1269" s="10" t="s">
        <v>65</v>
      </c>
      <c r="C1269" s="10">
        <f>Statistics!A49</f>
        <v>0</v>
      </c>
      <c r="I1269" s="10" t="s">
        <v>65</v>
      </c>
      <c r="J1269" s="10">
        <f>Statistics!A49</f>
        <v>0</v>
      </c>
    </row>
    <row r="1271" spans="2:11">
      <c r="B1271" s="5" t="s">
        <v>66</v>
      </c>
      <c r="C1271" s="5" t="s">
        <v>67</v>
      </c>
      <c r="I1271" s="5" t="s">
        <v>66</v>
      </c>
      <c r="J1271" s="5" t="s">
        <v>67</v>
      </c>
    </row>
    <row r="1272" spans="2:11">
      <c r="B1272" s="5">
        <f>Statistics!D6</f>
        <v>0</v>
      </c>
      <c r="C1272" s="5">
        <f>Statistics!T49</f>
        <v>0</v>
      </c>
      <c r="I1272" s="5">
        <f>Statistics!D6</f>
        <v>0</v>
      </c>
      <c r="J1272" s="5">
        <f>Statistics!T49</f>
        <v>0</v>
      </c>
    </row>
    <row r="1273" spans="2:11">
      <c r="B1273" s="5">
        <f>Statistics!E6</f>
        <v>0</v>
      </c>
      <c r="C1273" s="5">
        <f>Statistics!U49</f>
        <v>0</v>
      </c>
      <c r="I1273" s="5">
        <f>Statistics!E6</f>
        <v>0</v>
      </c>
      <c r="J1273" s="5">
        <f>Statistics!U49</f>
        <v>0</v>
      </c>
    </row>
    <row r="1274" spans="2:11">
      <c r="B1274" s="5">
        <f>Statistics!F6</f>
        <v>0</v>
      </c>
      <c r="C1274" s="5">
        <f>Statistics!V49</f>
        <v>0</v>
      </c>
      <c r="I1274" s="5">
        <f>Statistics!F6</f>
        <v>0</v>
      </c>
      <c r="J1274" s="5">
        <f>Statistics!V49</f>
        <v>0</v>
      </c>
    </row>
    <row r="1275" spans="2:11">
      <c r="B1275" s="5">
        <f>Statistics!G6</f>
        <v>0</v>
      </c>
      <c r="C1275" s="5">
        <f>Statistics!W49</f>
        <v>0</v>
      </c>
      <c r="I1275" s="5">
        <f>Statistics!G6</f>
        <v>0</v>
      </c>
      <c r="J1275" s="5">
        <f>Statistics!W49</f>
        <v>0</v>
      </c>
    </row>
    <row r="1276" spans="2:11">
      <c r="B1276" s="5">
        <f>Statistics!H6</f>
        <v>0</v>
      </c>
      <c r="C1276" s="5">
        <f>Statistics!X49</f>
        <v>0</v>
      </c>
      <c r="I1276" s="5">
        <f>Statistics!H6</f>
        <v>0</v>
      </c>
      <c r="J1276" s="5">
        <f>Statistics!X49</f>
        <v>0</v>
      </c>
    </row>
    <row r="1277" spans="2:11">
      <c r="B1277" s="5">
        <f>Statistics!I6</f>
        <v>0</v>
      </c>
      <c r="C1277" s="5">
        <f>Statistics!Y49</f>
        <v>0</v>
      </c>
      <c r="I1277" s="5">
        <f>Statistics!I6</f>
        <v>0</v>
      </c>
      <c r="J1277" s="5">
        <f>Statistics!Y49</f>
        <v>0</v>
      </c>
    </row>
    <row r="1278" spans="2:11">
      <c r="B1278" s="5">
        <f>Statistics!J6</f>
        <v>0</v>
      </c>
      <c r="C1278" s="5">
        <f>Statistics!Z49</f>
        <v>0</v>
      </c>
      <c r="I1278" s="5">
        <f>Statistics!J6</f>
        <v>0</v>
      </c>
      <c r="J1278" s="5">
        <f>Statistics!Z49</f>
        <v>0</v>
      </c>
    </row>
    <row r="1279" spans="2:11">
      <c r="B1279" s="5">
        <f>Statistics!K6</f>
        <v>0</v>
      </c>
      <c r="C1279" s="5">
        <f>Statistics!AA49</f>
        <v>0</v>
      </c>
      <c r="I1279" s="5">
        <f>Statistics!K6</f>
        <v>0</v>
      </c>
      <c r="J1279" s="5">
        <f>Statistics!AA49</f>
        <v>0</v>
      </c>
    </row>
    <row r="1280" spans="2:11">
      <c r="B1280" s="5">
        <f>Statistics!L6</f>
        <v>0</v>
      </c>
      <c r="C1280" s="5">
        <f>Statistics!AB49</f>
        <v>0</v>
      </c>
      <c r="I1280" s="5">
        <f>Statistics!L6</f>
        <v>0</v>
      </c>
      <c r="J1280" s="5">
        <f>Statistics!AB49</f>
        <v>0</v>
      </c>
    </row>
    <row r="1281" spans="2:12">
      <c r="B1281" s="5">
        <f>Statistics!M6</f>
        <v>0</v>
      </c>
      <c r="C1281" s="5">
        <f>Statistics!AC49</f>
        <v>0</v>
      </c>
      <c r="I1281" s="5">
        <f>Statistics!M6</f>
        <v>0</v>
      </c>
      <c r="J1281" s="5">
        <f>Statistics!AC49</f>
        <v>0</v>
      </c>
    </row>
    <row r="1282" spans="2:12">
      <c r="B1282" s="5">
        <f>Statistics!N6</f>
        <v>0</v>
      </c>
      <c r="C1282" s="5">
        <f>Statistics!AD49</f>
        <v>0</v>
      </c>
      <c r="I1282" s="5">
        <f>Statistics!N6</f>
        <v>0</v>
      </c>
      <c r="J1282" s="5">
        <f>Statistics!AD49</f>
        <v>0</v>
      </c>
    </row>
    <row r="1283" spans="2:12">
      <c r="B1283" s="10" t="s">
        <v>68</v>
      </c>
      <c r="C1283" s="10">
        <f>Statistics!AE49</f>
        <v>0</v>
      </c>
      <c r="D1283" s="10">
        <f>Statistics!AH49</f>
        <v>0</v>
      </c>
      <c r="I1283" s="10" t="s">
        <v>68</v>
      </c>
      <c r="J1283" s="10">
        <f>Statistics!AE49</f>
        <v>0</v>
      </c>
      <c r="K1283" s="10">
        <f>Statistics!AH49</f>
        <v>0</v>
      </c>
    </row>
    <row r="1284" spans="2:12">
      <c r="B1284" s="10" t="s">
        <v>69</v>
      </c>
      <c r="C1284" s="10">
        <f>Statistics!AG49</f>
        <v>0</v>
      </c>
      <c r="I1284" s="10" t="s">
        <v>69</v>
      </c>
      <c r="J1284" s="10">
        <f>Statistics!AG49</f>
        <v>0</v>
      </c>
    </row>
    <row r="1285" spans="2:12">
      <c r="D1285" s="10" t="s">
        <v>71</v>
      </c>
      <c r="E1285" s="10"/>
      <c r="K1285" s="10" t="s">
        <v>71</v>
      </c>
      <c r="L1285" s="10"/>
    </row>
    <row r="1286" spans="2:12">
      <c r="B1286" s="10" t="s">
        <v>70</v>
      </c>
      <c r="C1286" s="10"/>
      <c r="D1286" s="10" t="s">
        <v>72</v>
      </c>
      <c r="E1286" s="10"/>
      <c r="I1286" s="10" t="s">
        <v>70</v>
      </c>
      <c r="J1286" s="10"/>
      <c r="K1286" s="10" t="s">
        <v>72</v>
      </c>
      <c r="L1286" s="10"/>
    </row>
    <row r="1298" spans="2:11">
      <c r="B1298" s="10" t="s">
        <v>64</v>
      </c>
      <c r="C1298" s="10">
        <f>Statistics!B50</f>
        <v>0</v>
      </c>
      <c r="D1298" s="10"/>
      <c r="I1298" s="10" t="s">
        <v>64</v>
      </c>
      <c r="J1298" s="10">
        <f>Statistics!B50</f>
        <v>0</v>
      </c>
      <c r="K1298" s="10"/>
    </row>
    <row r="1299" spans="2:11">
      <c r="B1299" s="10" t="s">
        <v>65</v>
      </c>
      <c r="C1299" s="10">
        <f>Statistics!A50</f>
        <v>0</v>
      </c>
      <c r="I1299" s="10" t="s">
        <v>65</v>
      </c>
      <c r="J1299" s="10">
        <f>Statistics!A50</f>
        <v>0</v>
      </c>
    </row>
    <row r="1301" spans="2:11">
      <c r="B1301" s="5" t="s">
        <v>66</v>
      </c>
      <c r="C1301" s="5" t="s">
        <v>67</v>
      </c>
      <c r="I1301" s="5" t="s">
        <v>66</v>
      </c>
      <c r="J1301" s="5" t="s">
        <v>67</v>
      </c>
    </row>
    <row r="1302" spans="2:11">
      <c r="B1302" s="5">
        <f>Statistics!D6</f>
        <v>0</v>
      </c>
      <c r="C1302" s="5">
        <f>Statistics!T50</f>
        <v>0</v>
      </c>
      <c r="I1302" s="5">
        <f>Statistics!D6</f>
        <v>0</v>
      </c>
      <c r="J1302" s="5">
        <f>Statistics!T50</f>
        <v>0</v>
      </c>
    </row>
    <row r="1303" spans="2:11">
      <c r="B1303" s="5">
        <f>Statistics!E6</f>
        <v>0</v>
      </c>
      <c r="C1303" s="5">
        <f>Statistics!U50</f>
        <v>0</v>
      </c>
      <c r="I1303" s="5">
        <f>Statistics!E6</f>
        <v>0</v>
      </c>
      <c r="J1303" s="5">
        <f>Statistics!U50</f>
        <v>0</v>
      </c>
    </row>
    <row r="1304" spans="2:11">
      <c r="B1304" s="5">
        <f>Statistics!F6</f>
        <v>0</v>
      </c>
      <c r="C1304" s="5">
        <f>Statistics!V50</f>
        <v>0</v>
      </c>
      <c r="I1304" s="5">
        <f>Statistics!F6</f>
        <v>0</v>
      </c>
      <c r="J1304" s="5">
        <f>Statistics!V50</f>
        <v>0</v>
      </c>
    </row>
    <row r="1305" spans="2:11">
      <c r="B1305" s="5">
        <f>Statistics!G6</f>
        <v>0</v>
      </c>
      <c r="C1305" s="5">
        <f>Statistics!W50</f>
        <v>0</v>
      </c>
      <c r="I1305" s="5">
        <f>Statistics!G6</f>
        <v>0</v>
      </c>
      <c r="J1305" s="5">
        <f>Statistics!W50</f>
        <v>0</v>
      </c>
    </row>
    <row r="1306" spans="2:11">
      <c r="B1306" s="5">
        <f>Statistics!H6</f>
        <v>0</v>
      </c>
      <c r="C1306" s="5">
        <f>Statistics!X50</f>
        <v>0</v>
      </c>
      <c r="I1306" s="5">
        <f>Statistics!H6</f>
        <v>0</v>
      </c>
      <c r="J1306" s="5">
        <f>Statistics!X50</f>
        <v>0</v>
      </c>
    </row>
    <row r="1307" spans="2:11">
      <c r="B1307" s="5">
        <f>Statistics!I6</f>
        <v>0</v>
      </c>
      <c r="C1307" s="5">
        <f>Statistics!Y50</f>
        <v>0</v>
      </c>
      <c r="I1307" s="5">
        <f>Statistics!I6</f>
        <v>0</v>
      </c>
      <c r="J1307" s="5">
        <f>Statistics!Y50</f>
        <v>0</v>
      </c>
    </row>
    <row r="1308" spans="2:11">
      <c r="B1308" s="5">
        <f>Statistics!J6</f>
        <v>0</v>
      </c>
      <c r="C1308" s="5">
        <f>Statistics!Z50</f>
        <v>0</v>
      </c>
      <c r="I1308" s="5">
        <f>Statistics!J6</f>
        <v>0</v>
      </c>
      <c r="J1308" s="5">
        <f>Statistics!Z50</f>
        <v>0</v>
      </c>
    </row>
    <row r="1309" spans="2:11">
      <c r="B1309" s="5">
        <f>Statistics!K6</f>
        <v>0</v>
      </c>
      <c r="C1309" s="5">
        <f>Statistics!AA50</f>
        <v>0</v>
      </c>
      <c r="I1309" s="5">
        <f>Statistics!K6</f>
        <v>0</v>
      </c>
      <c r="J1309" s="5">
        <f>Statistics!AA50</f>
        <v>0</v>
      </c>
    </row>
    <row r="1310" spans="2:11">
      <c r="B1310" s="5">
        <f>Statistics!L6</f>
        <v>0</v>
      </c>
      <c r="C1310" s="5">
        <f>Statistics!AB50</f>
        <v>0</v>
      </c>
      <c r="I1310" s="5">
        <f>Statistics!L6</f>
        <v>0</v>
      </c>
      <c r="J1310" s="5">
        <f>Statistics!AB50</f>
        <v>0</v>
      </c>
    </row>
    <row r="1311" spans="2:11">
      <c r="B1311" s="5">
        <f>Statistics!M6</f>
        <v>0</v>
      </c>
      <c r="C1311" s="5">
        <f>Statistics!AC50</f>
        <v>0</v>
      </c>
      <c r="I1311" s="5">
        <f>Statistics!M6</f>
        <v>0</v>
      </c>
      <c r="J1311" s="5">
        <f>Statistics!AC50</f>
        <v>0</v>
      </c>
    </row>
    <row r="1312" spans="2:11">
      <c r="B1312" s="5">
        <f>Statistics!N6</f>
        <v>0</v>
      </c>
      <c r="C1312" s="5">
        <f>Statistics!AD50</f>
        <v>0</v>
      </c>
      <c r="I1312" s="5">
        <f>Statistics!N6</f>
        <v>0</v>
      </c>
      <c r="J1312" s="5">
        <f>Statistics!AD50</f>
        <v>0</v>
      </c>
    </row>
    <row r="1313" spans="2:12">
      <c r="B1313" s="10" t="s">
        <v>68</v>
      </c>
      <c r="C1313" s="10">
        <f>Statistics!AE50</f>
        <v>0</v>
      </c>
      <c r="D1313" s="10">
        <f>Statistics!AH50</f>
        <v>0</v>
      </c>
      <c r="I1313" s="10" t="s">
        <v>68</v>
      </c>
      <c r="J1313" s="10">
        <f>Statistics!AE50</f>
        <v>0</v>
      </c>
      <c r="K1313" s="10">
        <f>Statistics!AH50</f>
        <v>0</v>
      </c>
    </row>
    <row r="1314" spans="2:12">
      <c r="B1314" s="10" t="s">
        <v>69</v>
      </c>
      <c r="C1314" s="10">
        <f>Statistics!AG50</f>
        <v>0</v>
      </c>
      <c r="I1314" s="10" t="s">
        <v>69</v>
      </c>
      <c r="J1314" s="10">
        <f>Statistics!AG50</f>
        <v>0</v>
      </c>
    </row>
    <row r="1315" spans="2:12">
      <c r="D1315" s="10" t="s">
        <v>71</v>
      </c>
      <c r="E1315" s="10"/>
      <c r="K1315" s="10" t="s">
        <v>71</v>
      </c>
      <c r="L1315" s="10"/>
    </row>
    <row r="1316" spans="2:12">
      <c r="B1316" s="10" t="s">
        <v>70</v>
      </c>
      <c r="C1316" s="10"/>
      <c r="D1316" s="10" t="s">
        <v>72</v>
      </c>
      <c r="E1316" s="10"/>
      <c r="I1316" s="10" t="s">
        <v>70</v>
      </c>
      <c r="J1316" s="10"/>
      <c r="K1316" s="10" t="s">
        <v>72</v>
      </c>
      <c r="L1316" s="10"/>
    </row>
    <row r="1328" spans="2:12">
      <c r="B1328" s="10" t="s">
        <v>64</v>
      </c>
      <c r="C1328" s="10">
        <f>Statistics!B51</f>
        <v>0</v>
      </c>
      <c r="D1328" s="10"/>
      <c r="I1328" s="10" t="s">
        <v>64</v>
      </c>
      <c r="J1328" s="10">
        <f>Statistics!B51</f>
        <v>0</v>
      </c>
      <c r="K1328" s="10"/>
    </row>
    <row r="1329" spans="2:11">
      <c r="B1329" s="10" t="s">
        <v>65</v>
      </c>
      <c r="C1329" s="10">
        <f>Statistics!A51</f>
        <v>0</v>
      </c>
      <c r="I1329" s="10" t="s">
        <v>65</v>
      </c>
      <c r="J1329" s="10">
        <f>Statistics!A51</f>
        <v>0</v>
      </c>
    </row>
    <row r="1331" spans="2:11">
      <c r="B1331" s="5" t="s">
        <v>66</v>
      </c>
      <c r="C1331" s="5" t="s">
        <v>67</v>
      </c>
      <c r="I1331" s="5" t="s">
        <v>66</v>
      </c>
      <c r="J1331" s="5" t="s">
        <v>67</v>
      </c>
    </row>
    <row r="1332" spans="2:11">
      <c r="B1332" s="5">
        <f>Statistics!D6</f>
        <v>0</v>
      </c>
      <c r="C1332" s="5">
        <f>Statistics!T51</f>
        <v>0</v>
      </c>
      <c r="I1332" s="5">
        <f>Statistics!D6</f>
        <v>0</v>
      </c>
      <c r="J1332" s="5">
        <f>Statistics!T51</f>
        <v>0</v>
      </c>
    </row>
    <row r="1333" spans="2:11">
      <c r="B1333" s="5">
        <f>Statistics!E6</f>
        <v>0</v>
      </c>
      <c r="C1333" s="5">
        <f>Statistics!U51</f>
        <v>0</v>
      </c>
      <c r="I1333" s="5">
        <f>Statistics!E6</f>
        <v>0</v>
      </c>
      <c r="J1333" s="5">
        <f>Statistics!U51</f>
        <v>0</v>
      </c>
    </row>
    <row r="1334" spans="2:11">
      <c r="B1334" s="5">
        <f>Statistics!F6</f>
        <v>0</v>
      </c>
      <c r="C1334" s="5">
        <f>Statistics!V51</f>
        <v>0</v>
      </c>
      <c r="I1334" s="5">
        <f>Statistics!F6</f>
        <v>0</v>
      </c>
      <c r="J1334" s="5">
        <f>Statistics!V51</f>
        <v>0</v>
      </c>
    </row>
    <row r="1335" spans="2:11">
      <c r="B1335" s="5">
        <f>Statistics!G6</f>
        <v>0</v>
      </c>
      <c r="C1335" s="5">
        <f>Statistics!W51</f>
        <v>0</v>
      </c>
      <c r="I1335" s="5">
        <f>Statistics!G6</f>
        <v>0</v>
      </c>
      <c r="J1335" s="5">
        <f>Statistics!W51</f>
        <v>0</v>
      </c>
    </row>
    <row r="1336" spans="2:11">
      <c r="B1336" s="5">
        <f>Statistics!H6</f>
        <v>0</v>
      </c>
      <c r="C1336" s="5">
        <f>Statistics!X51</f>
        <v>0</v>
      </c>
      <c r="I1336" s="5">
        <f>Statistics!H6</f>
        <v>0</v>
      </c>
      <c r="J1336" s="5">
        <f>Statistics!X51</f>
        <v>0</v>
      </c>
    </row>
    <row r="1337" spans="2:11">
      <c r="B1337" s="5">
        <f>Statistics!I6</f>
        <v>0</v>
      </c>
      <c r="C1337" s="5">
        <f>Statistics!Y51</f>
        <v>0</v>
      </c>
      <c r="I1337" s="5">
        <f>Statistics!I6</f>
        <v>0</v>
      </c>
      <c r="J1337" s="5">
        <f>Statistics!Y51</f>
        <v>0</v>
      </c>
    </row>
    <row r="1338" spans="2:11">
      <c r="B1338" s="5">
        <f>Statistics!J6</f>
        <v>0</v>
      </c>
      <c r="C1338" s="5">
        <f>Statistics!Z51</f>
        <v>0</v>
      </c>
      <c r="I1338" s="5">
        <f>Statistics!J6</f>
        <v>0</v>
      </c>
      <c r="J1338" s="5">
        <f>Statistics!Z51</f>
        <v>0</v>
      </c>
    </row>
    <row r="1339" spans="2:11">
      <c r="B1339" s="5">
        <f>Statistics!K6</f>
        <v>0</v>
      </c>
      <c r="C1339" s="5">
        <f>Statistics!AA51</f>
        <v>0</v>
      </c>
      <c r="I1339" s="5">
        <f>Statistics!K6</f>
        <v>0</v>
      </c>
      <c r="J1339" s="5">
        <f>Statistics!AA51</f>
        <v>0</v>
      </c>
    </row>
    <row r="1340" spans="2:11">
      <c r="B1340" s="5">
        <f>Statistics!L6</f>
        <v>0</v>
      </c>
      <c r="C1340" s="5">
        <f>Statistics!AB51</f>
        <v>0</v>
      </c>
      <c r="I1340" s="5">
        <f>Statistics!L6</f>
        <v>0</v>
      </c>
      <c r="J1340" s="5">
        <f>Statistics!AB51</f>
        <v>0</v>
      </c>
    </row>
    <row r="1341" spans="2:11">
      <c r="B1341" s="5">
        <f>Statistics!M6</f>
        <v>0</v>
      </c>
      <c r="C1341" s="5">
        <f>Statistics!AC51</f>
        <v>0</v>
      </c>
      <c r="I1341" s="5">
        <f>Statistics!M6</f>
        <v>0</v>
      </c>
      <c r="J1341" s="5">
        <f>Statistics!AC51</f>
        <v>0</v>
      </c>
    </row>
    <row r="1342" spans="2:11">
      <c r="B1342" s="5">
        <f>Statistics!N6</f>
        <v>0</v>
      </c>
      <c r="C1342" s="5">
        <f>Statistics!AD51</f>
        <v>0</v>
      </c>
      <c r="I1342" s="5">
        <f>Statistics!N6</f>
        <v>0</v>
      </c>
      <c r="J1342" s="5">
        <f>Statistics!AD51</f>
        <v>0</v>
      </c>
    </row>
    <row r="1343" spans="2:11">
      <c r="B1343" s="10" t="s">
        <v>68</v>
      </c>
      <c r="C1343" s="10">
        <f>Statistics!AE51</f>
        <v>0</v>
      </c>
      <c r="D1343" s="10">
        <f>Statistics!AH51</f>
        <v>0</v>
      </c>
      <c r="I1343" s="10" t="s">
        <v>68</v>
      </c>
      <c r="J1343" s="10">
        <f>Statistics!AE51</f>
        <v>0</v>
      </c>
      <c r="K1343" s="10">
        <f>Statistics!AH51</f>
        <v>0</v>
      </c>
    </row>
    <row r="1344" spans="2:11">
      <c r="B1344" s="10" t="s">
        <v>69</v>
      </c>
      <c r="C1344" s="10">
        <f>Statistics!AG51</f>
        <v>0</v>
      </c>
      <c r="I1344" s="10" t="s">
        <v>69</v>
      </c>
      <c r="J1344" s="10">
        <f>Statistics!AG51</f>
        <v>0</v>
      </c>
    </row>
    <row r="1345" spans="2:12">
      <c r="D1345" s="10" t="s">
        <v>71</v>
      </c>
      <c r="E1345" s="10"/>
      <c r="K1345" s="10" t="s">
        <v>71</v>
      </c>
      <c r="L1345" s="10"/>
    </row>
    <row r="1346" spans="2:12">
      <c r="B1346" s="10" t="s">
        <v>70</v>
      </c>
      <c r="C1346" s="10"/>
      <c r="D1346" s="10" t="s">
        <v>72</v>
      </c>
      <c r="E1346" s="10"/>
      <c r="I1346" s="10" t="s">
        <v>70</v>
      </c>
      <c r="J1346" s="10"/>
      <c r="K1346" s="10" t="s">
        <v>72</v>
      </c>
      <c r="L1346" s="10"/>
    </row>
    <row r="1358" spans="2:12">
      <c r="B1358" s="10" t="s">
        <v>64</v>
      </c>
      <c r="C1358" s="10">
        <f>Statistics!B52</f>
        <v>0</v>
      </c>
      <c r="D1358" s="10"/>
      <c r="I1358" s="10" t="s">
        <v>64</v>
      </c>
      <c r="J1358" s="10">
        <f>Statistics!B52</f>
        <v>0</v>
      </c>
      <c r="K1358" s="10"/>
    </row>
    <row r="1359" spans="2:12">
      <c r="B1359" s="10" t="s">
        <v>65</v>
      </c>
      <c r="C1359" s="10">
        <f>Statistics!A52</f>
        <v>0</v>
      </c>
      <c r="I1359" s="10" t="s">
        <v>65</v>
      </c>
      <c r="J1359" s="10">
        <f>Statistics!A52</f>
        <v>0</v>
      </c>
    </row>
    <row r="1361" spans="2:12">
      <c r="B1361" s="5" t="s">
        <v>66</v>
      </c>
      <c r="C1361" s="5" t="s">
        <v>67</v>
      </c>
      <c r="I1361" s="5" t="s">
        <v>66</v>
      </c>
      <c r="J1361" s="5" t="s">
        <v>67</v>
      </c>
    </row>
    <row r="1362" spans="2:12">
      <c r="B1362" s="5">
        <f>Statistics!D6</f>
        <v>0</v>
      </c>
      <c r="C1362" s="5">
        <f>Statistics!T52</f>
        <v>0</v>
      </c>
      <c r="I1362" s="5">
        <f>Statistics!D6</f>
        <v>0</v>
      </c>
      <c r="J1362" s="5">
        <f>Statistics!T52</f>
        <v>0</v>
      </c>
    </row>
    <row r="1363" spans="2:12">
      <c r="B1363" s="5">
        <f>Statistics!E6</f>
        <v>0</v>
      </c>
      <c r="C1363" s="5">
        <f>Statistics!U52</f>
        <v>0</v>
      </c>
      <c r="I1363" s="5">
        <f>Statistics!E6</f>
        <v>0</v>
      </c>
      <c r="J1363" s="5">
        <f>Statistics!U52</f>
        <v>0</v>
      </c>
    </row>
    <row r="1364" spans="2:12">
      <c r="B1364" s="5">
        <f>Statistics!F6</f>
        <v>0</v>
      </c>
      <c r="C1364" s="5">
        <f>Statistics!V52</f>
        <v>0</v>
      </c>
      <c r="I1364" s="5">
        <f>Statistics!F6</f>
        <v>0</v>
      </c>
      <c r="J1364" s="5">
        <f>Statistics!V52</f>
        <v>0</v>
      </c>
    </row>
    <row r="1365" spans="2:12">
      <c r="B1365" s="5">
        <f>Statistics!G6</f>
        <v>0</v>
      </c>
      <c r="C1365" s="5">
        <f>Statistics!W52</f>
        <v>0</v>
      </c>
      <c r="I1365" s="5">
        <f>Statistics!G6</f>
        <v>0</v>
      </c>
      <c r="J1365" s="5">
        <f>Statistics!W52</f>
        <v>0</v>
      </c>
    </row>
    <row r="1366" spans="2:12">
      <c r="B1366" s="5">
        <f>Statistics!H6</f>
        <v>0</v>
      </c>
      <c r="C1366" s="5">
        <f>Statistics!X52</f>
        <v>0</v>
      </c>
      <c r="I1366" s="5">
        <f>Statistics!H6</f>
        <v>0</v>
      </c>
      <c r="J1366" s="5">
        <f>Statistics!X52</f>
        <v>0</v>
      </c>
    </row>
    <row r="1367" spans="2:12">
      <c r="B1367" s="5">
        <f>Statistics!I6</f>
        <v>0</v>
      </c>
      <c r="C1367" s="5">
        <f>Statistics!Y52</f>
        <v>0</v>
      </c>
      <c r="I1367" s="5">
        <f>Statistics!I6</f>
        <v>0</v>
      </c>
      <c r="J1367" s="5">
        <f>Statistics!Y52</f>
        <v>0</v>
      </c>
    </row>
    <row r="1368" spans="2:12">
      <c r="B1368" s="5">
        <f>Statistics!J6</f>
        <v>0</v>
      </c>
      <c r="C1368" s="5">
        <f>Statistics!Z52</f>
        <v>0</v>
      </c>
      <c r="I1368" s="5">
        <f>Statistics!J6</f>
        <v>0</v>
      </c>
      <c r="J1368" s="5">
        <f>Statistics!Z52</f>
        <v>0</v>
      </c>
    </row>
    <row r="1369" spans="2:12">
      <c r="B1369" s="5">
        <f>Statistics!K6</f>
        <v>0</v>
      </c>
      <c r="C1369" s="5">
        <f>Statistics!AA52</f>
        <v>0</v>
      </c>
      <c r="I1369" s="5">
        <f>Statistics!K6</f>
        <v>0</v>
      </c>
      <c r="J1369" s="5">
        <f>Statistics!AA52</f>
        <v>0</v>
      </c>
    </row>
    <row r="1370" spans="2:12">
      <c r="B1370" s="5">
        <f>Statistics!L6</f>
        <v>0</v>
      </c>
      <c r="C1370" s="5">
        <f>Statistics!AB52</f>
        <v>0</v>
      </c>
      <c r="I1370" s="5">
        <f>Statistics!L6</f>
        <v>0</v>
      </c>
      <c r="J1370" s="5">
        <f>Statistics!AB52</f>
        <v>0</v>
      </c>
    </row>
    <row r="1371" spans="2:12">
      <c r="B1371" s="5">
        <f>Statistics!M6</f>
        <v>0</v>
      </c>
      <c r="C1371" s="5">
        <f>Statistics!AC52</f>
        <v>0</v>
      </c>
      <c r="I1371" s="5">
        <f>Statistics!M6</f>
        <v>0</v>
      </c>
      <c r="J1371" s="5">
        <f>Statistics!AC52</f>
        <v>0</v>
      </c>
    </row>
    <row r="1372" spans="2:12">
      <c r="B1372" s="5">
        <f>Statistics!N6</f>
        <v>0</v>
      </c>
      <c r="C1372" s="5">
        <f>Statistics!AD52</f>
        <v>0</v>
      </c>
      <c r="I1372" s="5">
        <f>Statistics!N6</f>
        <v>0</v>
      </c>
      <c r="J1372" s="5">
        <f>Statistics!AD52</f>
        <v>0</v>
      </c>
    </row>
    <row r="1373" spans="2:12">
      <c r="B1373" s="10" t="s">
        <v>68</v>
      </c>
      <c r="C1373" s="10">
        <f>Statistics!AE52</f>
        <v>0</v>
      </c>
      <c r="D1373" s="10">
        <f>Statistics!AH52</f>
        <v>0</v>
      </c>
      <c r="I1373" s="10" t="s">
        <v>68</v>
      </c>
      <c r="J1373" s="10">
        <f>Statistics!AE52</f>
        <v>0</v>
      </c>
      <c r="K1373" s="10">
        <f>Statistics!AH52</f>
        <v>0</v>
      </c>
    </row>
    <row r="1374" spans="2:12">
      <c r="B1374" s="10" t="s">
        <v>69</v>
      </c>
      <c r="C1374" s="10">
        <f>Statistics!AG52</f>
        <v>0</v>
      </c>
      <c r="I1374" s="10" t="s">
        <v>69</v>
      </c>
      <c r="J1374" s="10">
        <f>Statistics!AG52</f>
        <v>0</v>
      </c>
    </row>
    <row r="1375" spans="2:12">
      <c r="D1375" s="10" t="s">
        <v>71</v>
      </c>
      <c r="E1375" s="10"/>
      <c r="K1375" s="10" t="s">
        <v>71</v>
      </c>
      <c r="L1375" s="10"/>
    </row>
    <row r="1376" spans="2:12">
      <c r="B1376" s="10" t="s">
        <v>70</v>
      </c>
      <c r="C1376" s="10"/>
      <c r="D1376" s="10" t="s">
        <v>72</v>
      </c>
      <c r="E1376" s="10"/>
      <c r="I1376" s="10" t="s">
        <v>70</v>
      </c>
      <c r="J1376" s="10"/>
      <c r="K1376" s="10" t="s">
        <v>72</v>
      </c>
      <c r="L1376" s="10"/>
    </row>
    <row r="1388" spans="2:11">
      <c r="B1388" s="10" t="s">
        <v>64</v>
      </c>
      <c r="C1388" s="10">
        <f>Statistics!B53</f>
        <v>0</v>
      </c>
      <c r="D1388" s="10"/>
      <c r="I1388" s="10" t="s">
        <v>64</v>
      </c>
      <c r="J1388" s="10">
        <f>Statistics!B53</f>
        <v>0</v>
      </c>
      <c r="K1388" s="10"/>
    </row>
    <row r="1389" spans="2:11">
      <c r="B1389" s="10" t="s">
        <v>65</v>
      </c>
      <c r="C1389" s="10">
        <f>Statistics!A53</f>
        <v>0</v>
      </c>
      <c r="I1389" s="10" t="s">
        <v>65</v>
      </c>
      <c r="J1389" s="10">
        <f>Statistics!A53</f>
        <v>0</v>
      </c>
    </row>
    <row r="1391" spans="2:11">
      <c r="B1391" s="5" t="s">
        <v>66</v>
      </c>
      <c r="C1391" s="5" t="s">
        <v>67</v>
      </c>
      <c r="I1391" s="5" t="s">
        <v>66</v>
      </c>
      <c r="J1391" s="5" t="s">
        <v>67</v>
      </c>
    </row>
    <row r="1392" spans="2:11">
      <c r="B1392" s="5">
        <f>Statistics!D6</f>
        <v>0</v>
      </c>
      <c r="C1392" s="5">
        <f>Statistics!T53</f>
        <v>0</v>
      </c>
      <c r="I1392" s="5">
        <f>Statistics!D6</f>
        <v>0</v>
      </c>
      <c r="J1392" s="5">
        <f>Statistics!T53</f>
        <v>0</v>
      </c>
    </row>
    <row r="1393" spans="2:12">
      <c r="B1393" s="5">
        <f>Statistics!E6</f>
        <v>0</v>
      </c>
      <c r="C1393" s="5">
        <f>Statistics!U53</f>
        <v>0</v>
      </c>
      <c r="I1393" s="5">
        <f>Statistics!E6</f>
        <v>0</v>
      </c>
      <c r="J1393" s="5">
        <f>Statistics!U53</f>
        <v>0</v>
      </c>
    </row>
    <row r="1394" spans="2:12">
      <c r="B1394" s="5">
        <f>Statistics!F6</f>
        <v>0</v>
      </c>
      <c r="C1394" s="5">
        <f>Statistics!V53</f>
        <v>0</v>
      </c>
      <c r="I1394" s="5">
        <f>Statistics!F6</f>
        <v>0</v>
      </c>
      <c r="J1394" s="5">
        <f>Statistics!V53</f>
        <v>0</v>
      </c>
    </row>
    <row r="1395" spans="2:12">
      <c r="B1395" s="5">
        <f>Statistics!G6</f>
        <v>0</v>
      </c>
      <c r="C1395" s="5">
        <f>Statistics!W53</f>
        <v>0</v>
      </c>
      <c r="I1395" s="5">
        <f>Statistics!G6</f>
        <v>0</v>
      </c>
      <c r="J1395" s="5">
        <f>Statistics!W53</f>
        <v>0</v>
      </c>
    </row>
    <row r="1396" spans="2:12">
      <c r="B1396" s="5">
        <f>Statistics!H6</f>
        <v>0</v>
      </c>
      <c r="C1396" s="5">
        <f>Statistics!X53</f>
        <v>0</v>
      </c>
      <c r="I1396" s="5">
        <f>Statistics!H6</f>
        <v>0</v>
      </c>
      <c r="J1396" s="5">
        <f>Statistics!X53</f>
        <v>0</v>
      </c>
    </row>
    <row r="1397" spans="2:12">
      <c r="B1397" s="5">
        <f>Statistics!I6</f>
        <v>0</v>
      </c>
      <c r="C1397" s="5">
        <f>Statistics!Y53</f>
        <v>0</v>
      </c>
      <c r="I1397" s="5">
        <f>Statistics!I6</f>
        <v>0</v>
      </c>
      <c r="J1397" s="5">
        <f>Statistics!Y53</f>
        <v>0</v>
      </c>
    </row>
    <row r="1398" spans="2:12">
      <c r="B1398" s="5">
        <f>Statistics!J6</f>
        <v>0</v>
      </c>
      <c r="C1398" s="5">
        <f>Statistics!Z53</f>
        <v>0</v>
      </c>
      <c r="I1398" s="5">
        <f>Statistics!J6</f>
        <v>0</v>
      </c>
      <c r="J1398" s="5">
        <f>Statistics!Z53</f>
        <v>0</v>
      </c>
    </row>
    <row r="1399" spans="2:12">
      <c r="B1399" s="5">
        <f>Statistics!K6</f>
        <v>0</v>
      </c>
      <c r="C1399" s="5">
        <f>Statistics!AA53</f>
        <v>0</v>
      </c>
      <c r="I1399" s="5">
        <f>Statistics!K6</f>
        <v>0</v>
      </c>
      <c r="J1399" s="5">
        <f>Statistics!AA53</f>
        <v>0</v>
      </c>
    </row>
    <row r="1400" spans="2:12">
      <c r="B1400" s="5">
        <f>Statistics!L6</f>
        <v>0</v>
      </c>
      <c r="C1400" s="5">
        <f>Statistics!AB53</f>
        <v>0</v>
      </c>
      <c r="I1400" s="5">
        <f>Statistics!L6</f>
        <v>0</v>
      </c>
      <c r="J1400" s="5">
        <f>Statistics!AB53</f>
        <v>0</v>
      </c>
    </row>
    <row r="1401" spans="2:12">
      <c r="B1401" s="5">
        <f>Statistics!M6</f>
        <v>0</v>
      </c>
      <c r="C1401" s="5">
        <f>Statistics!AC53</f>
        <v>0</v>
      </c>
      <c r="I1401" s="5">
        <f>Statistics!M6</f>
        <v>0</v>
      </c>
      <c r="J1401" s="5">
        <f>Statistics!AC53</f>
        <v>0</v>
      </c>
    </row>
    <row r="1402" spans="2:12">
      <c r="B1402" s="5">
        <f>Statistics!N6</f>
        <v>0</v>
      </c>
      <c r="C1402" s="5">
        <f>Statistics!AD53</f>
        <v>0</v>
      </c>
      <c r="I1402" s="5">
        <f>Statistics!N6</f>
        <v>0</v>
      </c>
      <c r="J1402" s="5">
        <f>Statistics!AD53</f>
        <v>0</v>
      </c>
    </row>
    <row r="1403" spans="2:12">
      <c r="B1403" s="10" t="s">
        <v>68</v>
      </c>
      <c r="C1403" s="10">
        <f>Statistics!AE53</f>
        <v>0</v>
      </c>
      <c r="D1403" s="10">
        <f>Statistics!AH53</f>
        <v>0</v>
      </c>
      <c r="I1403" s="10" t="s">
        <v>68</v>
      </c>
      <c r="J1403" s="10">
        <f>Statistics!AE53</f>
        <v>0</v>
      </c>
      <c r="K1403" s="10">
        <f>Statistics!AH53</f>
        <v>0</v>
      </c>
    </row>
    <row r="1404" spans="2:12">
      <c r="B1404" s="10" t="s">
        <v>69</v>
      </c>
      <c r="C1404" s="10">
        <f>Statistics!AG53</f>
        <v>0</v>
      </c>
      <c r="I1404" s="10" t="s">
        <v>69</v>
      </c>
      <c r="J1404" s="10">
        <f>Statistics!AG53</f>
        <v>0</v>
      </c>
    </row>
    <row r="1405" spans="2:12">
      <c r="D1405" s="10" t="s">
        <v>71</v>
      </c>
      <c r="E1405" s="10"/>
      <c r="K1405" s="10" t="s">
        <v>71</v>
      </c>
      <c r="L1405" s="10"/>
    </row>
    <row r="1406" spans="2:12">
      <c r="B1406" s="10" t="s">
        <v>70</v>
      </c>
      <c r="C1406" s="10"/>
      <c r="D1406" s="10" t="s">
        <v>72</v>
      </c>
      <c r="E1406" s="10"/>
      <c r="I1406" s="10" t="s">
        <v>70</v>
      </c>
      <c r="J1406" s="10"/>
      <c r="K1406" s="10" t="s">
        <v>72</v>
      </c>
      <c r="L1406" s="10"/>
    </row>
    <row r="1418" spans="2:11">
      <c r="B1418" s="10" t="s">
        <v>64</v>
      </c>
      <c r="C1418" s="10">
        <f>Statistics!B54</f>
        <v>0</v>
      </c>
      <c r="D1418" s="10"/>
      <c r="I1418" s="10" t="s">
        <v>64</v>
      </c>
      <c r="J1418" s="10">
        <f>Statistics!B54</f>
        <v>0</v>
      </c>
      <c r="K1418" s="10"/>
    </row>
    <row r="1419" spans="2:11">
      <c r="B1419" s="10" t="s">
        <v>65</v>
      </c>
      <c r="C1419" s="10">
        <f>Statistics!A54</f>
        <v>0</v>
      </c>
      <c r="I1419" s="10" t="s">
        <v>65</v>
      </c>
      <c r="J1419" s="10">
        <f>Statistics!A54</f>
        <v>0</v>
      </c>
    </row>
    <row r="1421" spans="2:11">
      <c r="B1421" s="5" t="s">
        <v>66</v>
      </c>
      <c r="C1421" s="5" t="s">
        <v>67</v>
      </c>
      <c r="I1421" s="5" t="s">
        <v>66</v>
      </c>
      <c r="J1421" s="5" t="s">
        <v>67</v>
      </c>
    </row>
    <row r="1422" spans="2:11">
      <c r="B1422" s="5">
        <f>Statistics!D6</f>
        <v>0</v>
      </c>
      <c r="C1422" s="5">
        <f>Statistics!T54</f>
        <v>0</v>
      </c>
      <c r="I1422" s="5">
        <f>Statistics!D6</f>
        <v>0</v>
      </c>
      <c r="J1422" s="5">
        <f>Statistics!T54</f>
        <v>0</v>
      </c>
    </row>
    <row r="1423" spans="2:11">
      <c r="B1423" s="5">
        <f>Statistics!E6</f>
        <v>0</v>
      </c>
      <c r="C1423" s="5">
        <f>Statistics!U54</f>
        <v>0</v>
      </c>
      <c r="I1423" s="5">
        <f>Statistics!E6</f>
        <v>0</v>
      </c>
      <c r="J1423" s="5">
        <f>Statistics!U54</f>
        <v>0</v>
      </c>
    </row>
    <row r="1424" spans="2:11">
      <c r="B1424" s="5">
        <f>Statistics!F6</f>
        <v>0</v>
      </c>
      <c r="C1424" s="5">
        <f>Statistics!V54</f>
        <v>0</v>
      </c>
      <c r="I1424" s="5">
        <f>Statistics!F6</f>
        <v>0</v>
      </c>
      <c r="J1424" s="5">
        <f>Statistics!V54</f>
        <v>0</v>
      </c>
    </row>
    <row r="1425" spans="2:12">
      <c r="B1425" s="5">
        <f>Statistics!G6</f>
        <v>0</v>
      </c>
      <c r="C1425" s="5">
        <f>Statistics!W54</f>
        <v>0</v>
      </c>
      <c r="I1425" s="5">
        <f>Statistics!G6</f>
        <v>0</v>
      </c>
      <c r="J1425" s="5">
        <f>Statistics!W54</f>
        <v>0</v>
      </c>
    </row>
    <row r="1426" spans="2:12">
      <c r="B1426" s="5">
        <f>Statistics!H6</f>
        <v>0</v>
      </c>
      <c r="C1426" s="5">
        <f>Statistics!X54</f>
        <v>0</v>
      </c>
      <c r="I1426" s="5">
        <f>Statistics!H6</f>
        <v>0</v>
      </c>
      <c r="J1426" s="5">
        <f>Statistics!X54</f>
        <v>0</v>
      </c>
    </row>
    <row r="1427" spans="2:12">
      <c r="B1427" s="5">
        <f>Statistics!I6</f>
        <v>0</v>
      </c>
      <c r="C1427" s="5">
        <f>Statistics!Y54</f>
        <v>0</v>
      </c>
      <c r="I1427" s="5">
        <f>Statistics!I6</f>
        <v>0</v>
      </c>
      <c r="J1427" s="5">
        <f>Statistics!Y54</f>
        <v>0</v>
      </c>
    </row>
    <row r="1428" spans="2:12">
      <c r="B1428" s="5">
        <f>Statistics!J6</f>
        <v>0</v>
      </c>
      <c r="C1428" s="5">
        <f>Statistics!Z54</f>
        <v>0</v>
      </c>
      <c r="I1428" s="5">
        <f>Statistics!J6</f>
        <v>0</v>
      </c>
      <c r="J1428" s="5">
        <f>Statistics!Z54</f>
        <v>0</v>
      </c>
    </row>
    <row r="1429" spans="2:12">
      <c r="B1429" s="5">
        <f>Statistics!K6</f>
        <v>0</v>
      </c>
      <c r="C1429" s="5">
        <f>Statistics!AA54</f>
        <v>0</v>
      </c>
      <c r="I1429" s="5">
        <f>Statistics!K6</f>
        <v>0</v>
      </c>
      <c r="J1429" s="5">
        <f>Statistics!AA54</f>
        <v>0</v>
      </c>
    </row>
    <row r="1430" spans="2:12">
      <c r="B1430" s="5">
        <f>Statistics!L6</f>
        <v>0</v>
      </c>
      <c r="C1430" s="5">
        <f>Statistics!AB54</f>
        <v>0</v>
      </c>
      <c r="I1430" s="5">
        <f>Statistics!L6</f>
        <v>0</v>
      </c>
      <c r="J1430" s="5">
        <f>Statistics!AB54</f>
        <v>0</v>
      </c>
    </row>
    <row r="1431" spans="2:12">
      <c r="B1431" s="5">
        <f>Statistics!M6</f>
        <v>0</v>
      </c>
      <c r="C1431" s="5">
        <f>Statistics!AC54</f>
        <v>0</v>
      </c>
      <c r="I1431" s="5">
        <f>Statistics!M6</f>
        <v>0</v>
      </c>
      <c r="J1431" s="5">
        <f>Statistics!AC54</f>
        <v>0</v>
      </c>
    </row>
    <row r="1432" spans="2:12">
      <c r="B1432" s="5">
        <f>Statistics!N6</f>
        <v>0</v>
      </c>
      <c r="C1432" s="5">
        <f>Statistics!AD54</f>
        <v>0</v>
      </c>
      <c r="I1432" s="5">
        <f>Statistics!N6</f>
        <v>0</v>
      </c>
      <c r="J1432" s="5">
        <f>Statistics!AD54</f>
        <v>0</v>
      </c>
    </row>
    <row r="1433" spans="2:12">
      <c r="B1433" s="10" t="s">
        <v>68</v>
      </c>
      <c r="C1433" s="10">
        <f>Statistics!AE54</f>
        <v>0</v>
      </c>
      <c r="D1433" s="10">
        <f>Statistics!AH54</f>
        <v>0</v>
      </c>
      <c r="I1433" s="10" t="s">
        <v>68</v>
      </c>
      <c r="J1433" s="10">
        <f>Statistics!AE54</f>
        <v>0</v>
      </c>
      <c r="K1433" s="10">
        <f>Statistics!AH54</f>
        <v>0</v>
      </c>
    </row>
    <row r="1434" spans="2:12">
      <c r="B1434" s="10" t="s">
        <v>69</v>
      </c>
      <c r="C1434" s="10">
        <f>Statistics!AG54</f>
        <v>0</v>
      </c>
      <c r="I1434" s="10" t="s">
        <v>69</v>
      </c>
      <c r="J1434" s="10">
        <f>Statistics!AG54</f>
        <v>0</v>
      </c>
    </row>
    <row r="1435" spans="2:12">
      <c r="D1435" s="10" t="s">
        <v>71</v>
      </c>
      <c r="E1435" s="10"/>
      <c r="K1435" s="10" t="s">
        <v>71</v>
      </c>
      <c r="L1435" s="10"/>
    </row>
    <row r="1436" spans="2:12">
      <c r="B1436" s="10" t="s">
        <v>70</v>
      </c>
      <c r="C1436" s="10"/>
      <c r="D1436" s="10" t="s">
        <v>72</v>
      </c>
      <c r="E1436" s="10"/>
      <c r="I1436" s="10" t="s">
        <v>70</v>
      </c>
      <c r="J1436" s="10"/>
      <c r="K1436" s="10" t="s">
        <v>72</v>
      </c>
      <c r="L1436" s="10"/>
    </row>
    <row r="1448" spans="2:11">
      <c r="B1448" s="10" t="s">
        <v>64</v>
      </c>
      <c r="C1448" s="10">
        <f>Statistics!B55</f>
        <v>0</v>
      </c>
      <c r="D1448" s="10"/>
      <c r="I1448" s="10" t="s">
        <v>64</v>
      </c>
      <c r="J1448" s="10">
        <f>Statistics!B55</f>
        <v>0</v>
      </c>
      <c r="K1448" s="10"/>
    </row>
    <row r="1449" spans="2:11">
      <c r="B1449" s="10" t="s">
        <v>65</v>
      </c>
      <c r="C1449" s="10">
        <f>Statistics!A55</f>
        <v>0</v>
      </c>
      <c r="I1449" s="10" t="s">
        <v>65</v>
      </c>
      <c r="J1449" s="10">
        <f>Statistics!A55</f>
        <v>0</v>
      </c>
    </row>
    <row r="1451" spans="2:11">
      <c r="B1451" s="5" t="s">
        <v>66</v>
      </c>
      <c r="C1451" s="5" t="s">
        <v>67</v>
      </c>
      <c r="I1451" s="5" t="s">
        <v>66</v>
      </c>
      <c r="J1451" s="5" t="s">
        <v>67</v>
      </c>
    </row>
    <row r="1452" spans="2:11">
      <c r="B1452" s="5">
        <f>Statistics!D6</f>
        <v>0</v>
      </c>
      <c r="C1452" s="5">
        <f>Statistics!T55</f>
        <v>0</v>
      </c>
      <c r="I1452" s="5">
        <f>Statistics!D6</f>
        <v>0</v>
      </c>
      <c r="J1452" s="5">
        <f>Statistics!T55</f>
        <v>0</v>
      </c>
    </row>
    <row r="1453" spans="2:11">
      <c r="B1453" s="5">
        <f>Statistics!E6</f>
        <v>0</v>
      </c>
      <c r="C1453" s="5">
        <f>Statistics!U55</f>
        <v>0</v>
      </c>
      <c r="I1453" s="5">
        <f>Statistics!E6</f>
        <v>0</v>
      </c>
      <c r="J1453" s="5">
        <f>Statistics!U55</f>
        <v>0</v>
      </c>
    </row>
    <row r="1454" spans="2:11">
      <c r="B1454" s="5">
        <f>Statistics!F6</f>
        <v>0</v>
      </c>
      <c r="C1454" s="5">
        <f>Statistics!V55</f>
        <v>0</v>
      </c>
      <c r="I1454" s="5">
        <f>Statistics!F6</f>
        <v>0</v>
      </c>
      <c r="J1454" s="5">
        <f>Statistics!V55</f>
        <v>0</v>
      </c>
    </row>
    <row r="1455" spans="2:11">
      <c r="B1455" s="5">
        <f>Statistics!G6</f>
        <v>0</v>
      </c>
      <c r="C1455" s="5">
        <f>Statistics!W55</f>
        <v>0</v>
      </c>
      <c r="I1455" s="5">
        <f>Statistics!G6</f>
        <v>0</v>
      </c>
      <c r="J1455" s="5">
        <f>Statistics!W55</f>
        <v>0</v>
      </c>
    </row>
    <row r="1456" spans="2:11">
      <c r="B1456" s="5">
        <f>Statistics!H6</f>
        <v>0</v>
      </c>
      <c r="C1456" s="5">
        <f>Statistics!X55</f>
        <v>0</v>
      </c>
      <c r="I1456" s="5">
        <f>Statistics!H6</f>
        <v>0</v>
      </c>
      <c r="J1456" s="5">
        <f>Statistics!X55</f>
        <v>0</v>
      </c>
    </row>
    <row r="1457" spans="2:12">
      <c r="B1457" s="5">
        <f>Statistics!I6</f>
        <v>0</v>
      </c>
      <c r="C1457" s="5">
        <f>Statistics!Y55</f>
        <v>0</v>
      </c>
      <c r="I1457" s="5">
        <f>Statistics!I6</f>
        <v>0</v>
      </c>
      <c r="J1457" s="5">
        <f>Statistics!Y55</f>
        <v>0</v>
      </c>
    </row>
    <row r="1458" spans="2:12">
      <c r="B1458" s="5">
        <f>Statistics!J6</f>
        <v>0</v>
      </c>
      <c r="C1458" s="5">
        <f>Statistics!Z55</f>
        <v>0</v>
      </c>
      <c r="I1458" s="5">
        <f>Statistics!J6</f>
        <v>0</v>
      </c>
      <c r="J1458" s="5">
        <f>Statistics!Z55</f>
        <v>0</v>
      </c>
    </row>
    <row r="1459" spans="2:12">
      <c r="B1459" s="5">
        <f>Statistics!K6</f>
        <v>0</v>
      </c>
      <c r="C1459" s="5">
        <f>Statistics!AA55</f>
        <v>0</v>
      </c>
      <c r="I1459" s="5">
        <f>Statistics!K6</f>
        <v>0</v>
      </c>
      <c r="J1459" s="5">
        <f>Statistics!AA55</f>
        <v>0</v>
      </c>
    </row>
    <row r="1460" spans="2:12">
      <c r="B1460" s="5">
        <f>Statistics!L6</f>
        <v>0</v>
      </c>
      <c r="C1460" s="5">
        <f>Statistics!AB55</f>
        <v>0</v>
      </c>
      <c r="I1460" s="5">
        <f>Statistics!L6</f>
        <v>0</v>
      </c>
      <c r="J1460" s="5">
        <f>Statistics!AB55</f>
        <v>0</v>
      </c>
    </row>
    <row r="1461" spans="2:12">
      <c r="B1461" s="5">
        <f>Statistics!M6</f>
        <v>0</v>
      </c>
      <c r="C1461" s="5">
        <f>Statistics!AC55</f>
        <v>0</v>
      </c>
      <c r="I1461" s="5">
        <f>Statistics!M6</f>
        <v>0</v>
      </c>
      <c r="J1461" s="5">
        <f>Statistics!AC55</f>
        <v>0</v>
      </c>
    </row>
    <row r="1462" spans="2:12">
      <c r="B1462" s="5">
        <f>Statistics!N6</f>
        <v>0</v>
      </c>
      <c r="C1462" s="5">
        <f>Statistics!AD55</f>
        <v>0</v>
      </c>
      <c r="I1462" s="5">
        <f>Statistics!N6</f>
        <v>0</v>
      </c>
      <c r="J1462" s="5">
        <f>Statistics!AD55</f>
        <v>0</v>
      </c>
    </row>
    <row r="1463" spans="2:12">
      <c r="B1463" s="10" t="s">
        <v>68</v>
      </c>
      <c r="C1463" s="10">
        <f>Statistics!AE55</f>
        <v>0</v>
      </c>
      <c r="D1463" s="10">
        <f>Statistics!AH55</f>
        <v>0</v>
      </c>
      <c r="I1463" s="10" t="s">
        <v>68</v>
      </c>
      <c r="J1463" s="10">
        <f>Statistics!AE55</f>
        <v>0</v>
      </c>
      <c r="K1463" s="10">
        <f>Statistics!AH55</f>
        <v>0</v>
      </c>
    </row>
    <row r="1464" spans="2:12">
      <c r="B1464" s="10" t="s">
        <v>69</v>
      </c>
      <c r="C1464" s="10">
        <f>Statistics!AG55</f>
        <v>0</v>
      </c>
      <c r="I1464" s="10" t="s">
        <v>69</v>
      </c>
      <c r="J1464" s="10">
        <f>Statistics!AG55</f>
        <v>0</v>
      </c>
    </row>
    <row r="1465" spans="2:12">
      <c r="D1465" s="10" t="s">
        <v>71</v>
      </c>
      <c r="E1465" s="10"/>
      <c r="K1465" s="10" t="s">
        <v>71</v>
      </c>
      <c r="L1465" s="10"/>
    </row>
    <row r="1466" spans="2:12">
      <c r="B1466" s="10" t="s">
        <v>70</v>
      </c>
      <c r="C1466" s="10"/>
      <c r="D1466" s="10" t="s">
        <v>72</v>
      </c>
      <c r="E1466" s="10"/>
      <c r="I1466" s="10" t="s">
        <v>70</v>
      </c>
      <c r="J1466" s="10"/>
      <c r="K1466" s="10" t="s">
        <v>72</v>
      </c>
      <c r="L1466" s="10"/>
    </row>
    <row r="1478" spans="2:11">
      <c r="B1478" s="10" t="s">
        <v>64</v>
      </c>
      <c r="C1478" s="10">
        <f>Statistics!B56</f>
        <v>0</v>
      </c>
      <c r="D1478" s="10"/>
      <c r="I1478" s="10" t="s">
        <v>64</v>
      </c>
      <c r="J1478" s="10">
        <f>Statistics!B56</f>
        <v>0</v>
      </c>
      <c r="K1478" s="10"/>
    </row>
    <row r="1479" spans="2:11">
      <c r="B1479" s="10" t="s">
        <v>65</v>
      </c>
      <c r="C1479" s="10">
        <f>Statistics!A56</f>
        <v>0</v>
      </c>
      <c r="I1479" s="10" t="s">
        <v>65</v>
      </c>
      <c r="J1479" s="10">
        <f>Statistics!A56</f>
        <v>0</v>
      </c>
    </row>
    <row r="1481" spans="2:11">
      <c r="B1481" s="5" t="s">
        <v>66</v>
      </c>
      <c r="C1481" s="5" t="s">
        <v>67</v>
      </c>
      <c r="I1481" s="5" t="s">
        <v>66</v>
      </c>
      <c r="J1481" s="5" t="s">
        <v>67</v>
      </c>
    </row>
    <row r="1482" spans="2:11">
      <c r="B1482" s="5">
        <f>Statistics!D6</f>
        <v>0</v>
      </c>
      <c r="C1482" s="5">
        <f>Statistics!T56</f>
        <v>0</v>
      </c>
      <c r="I1482" s="5">
        <f>Statistics!D6</f>
        <v>0</v>
      </c>
      <c r="J1482" s="5">
        <f>Statistics!T56</f>
        <v>0</v>
      </c>
    </row>
    <row r="1483" spans="2:11">
      <c r="B1483" s="5">
        <f>Statistics!E6</f>
        <v>0</v>
      </c>
      <c r="C1483" s="5">
        <f>Statistics!U56</f>
        <v>0</v>
      </c>
      <c r="I1483" s="5">
        <f>Statistics!E6</f>
        <v>0</v>
      </c>
      <c r="J1483" s="5">
        <f>Statistics!U56</f>
        <v>0</v>
      </c>
    </row>
    <row r="1484" spans="2:11">
      <c r="B1484" s="5">
        <f>Statistics!F6</f>
        <v>0</v>
      </c>
      <c r="C1484" s="5">
        <f>Statistics!V56</f>
        <v>0</v>
      </c>
      <c r="I1484" s="5">
        <f>Statistics!F6</f>
        <v>0</v>
      </c>
      <c r="J1484" s="5">
        <f>Statistics!V56</f>
        <v>0</v>
      </c>
    </row>
    <row r="1485" spans="2:11">
      <c r="B1485" s="5">
        <f>Statistics!G6</f>
        <v>0</v>
      </c>
      <c r="C1485" s="5">
        <f>Statistics!W56</f>
        <v>0</v>
      </c>
      <c r="I1485" s="5">
        <f>Statistics!G6</f>
        <v>0</v>
      </c>
      <c r="J1485" s="5">
        <f>Statistics!W56</f>
        <v>0</v>
      </c>
    </row>
    <row r="1486" spans="2:11">
      <c r="B1486" s="5">
        <f>Statistics!H6</f>
        <v>0</v>
      </c>
      <c r="C1486" s="5">
        <f>Statistics!X56</f>
        <v>0</v>
      </c>
      <c r="I1486" s="5">
        <f>Statistics!H6</f>
        <v>0</v>
      </c>
      <c r="J1486" s="5">
        <f>Statistics!X56</f>
        <v>0</v>
      </c>
    </row>
    <row r="1487" spans="2:11">
      <c r="B1487" s="5">
        <f>Statistics!I6</f>
        <v>0</v>
      </c>
      <c r="C1487" s="5">
        <f>Statistics!Y56</f>
        <v>0</v>
      </c>
      <c r="I1487" s="5">
        <f>Statistics!I6</f>
        <v>0</v>
      </c>
      <c r="J1487" s="5">
        <f>Statistics!Y56</f>
        <v>0</v>
      </c>
    </row>
    <row r="1488" spans="2:11">
      <c r="B1488" s="5">
        <f>Statistics!J6</f>
        <v>0</v>
      </c>
      <c r="C1488" s="5">
        <f>Statistics!Z56</f>
        <v>0</v>
      </c>
      <c r="I1488" s="5">
        <f>Statistics!J6</f>
        <v>0</v>
      </c>
      <c r="J1488" s="5">
        <f>Statistics!Z56</f>
        <v>0</v>
      </c>
    </row>
    <row r="1489" spans="2:12">
      <c r="B1489" s="5">
        <f>Statistics!K6</f>
        <v>0</v>
      </c>
      <c r="C1489" s="5">
        <f>Statistics!AA56</f>
        <v>0</v>
      </c>
      <c r="I1489" s="5">
        <f>Statistics!K6</f>
        <v>0</v>
      </c>
      <c r="J1489" s="5">
        <f>Statistics!AA56</f>
        <v>0</v>
      </c>
    </row>
    <row r="1490" spans="2:12">
      <c r="B1490" s="5">
        <f>Statistics!L6</f>
        <v>0</v>
      </c>
      <c r="C1490" s="5">
        <f>Statistics!AB56</f>
        <v>0</v>
      </c>
      <c r="I1490" s="5">
        <f>Statistics!L6</f>
        <v>0</v>
      </c>
      <c r="J1490" s="5">
        <f>Statistics!AB56</f>
        <v>0</v>
      </c>
    </row>
    <row r="1491" spans="2:12">
      <c r="B1491" s="5">
        <f>Statistics!M6</f>
        <v>0</v>
      </c>
      <c r="C1491" s="5">
        <f>Statistics!AC56</f>
        <v>0</v>
      </c>
      <c r="I1491" s="5">
        <f>Statistics!M6</f>
        <v>0</v>
      </c>
      <c r="J1491" s="5">
        <f>Statistics!AC56</f>
        <v>0</v>
      </c>
    </row>
    <row r="1492" spans="2:12">
      <c r="B1492" s="5">
        <f>Statistics!N6</f>
        <v>0</v>
      </c>
      <c r="C1492" s="5">
        <f>Statistics!AD56</f>
        <v>0</v>
      </c>
      <c r="I1492" s="5">
        <f>Statistics!N6</f>
        <v>0</v>
      </c>
      <c r="J1492" s="5">
        <f>Statistics!AD56</f>
        <v>0</v>
      </c>
    </row>
    <row r="1493" spans="2:12">
      <c r="B1493" s="10" t="s">
        <v>68</v>
      </c>
      <c r="C1493" s="10">
        <f>Statistics!AE56</f>
        <v>0</v>
      </c>
      <c r="D1493" s="10">
        <f>Statistics!AH56</f>
        <v>0</v>
      </c>
      <c r="I1493" s="10" t="s">
        <v>68</v>
      </c>
      <c r="J1493" s="10">
        <f>Statistics!AE56</f>
        <v>0</v>
      </c>
      <c r="K1493" s="10">
        <f>Statistics!AH56</f>
        <v>0</v>
      </c>
    </row>
    <row r="1494" spans="2:12">
      <c r="B1494" s="10" t="s">
        <v>69</v>
      </c>
      <c r="C1494" s="10">
        <f>Statistics!AG56</f>
        <v>0</v>
      </c>
      <c r="I1494" s="10" t="s">
        <v>69</v>
      </c>
      <c r="J1494" s="10">
        <f>Statistics!AG56</f>
        <v>0</v>
      </c>
    </row>
    <row r="1495" spans="2:12">
      <c r="D1495" s="10" t="s">
        <v>71</v>
      </c>
      <c r="E1495" s="10"/>
      <c r="K1495" s="10" t="s">
        <v>71</v>
      </c>
      <c r="L1495" s="10"/>
    </row>
    <row r="1496" spans="2:12">
      <c r="B1496" s="10" t="s">
        <v>70</v>
      </c>
      <c r="C1496" s="10"/>
      <c r="D1496" s="10" t="s">
        <v>72</v>
      </c>
      <c r="E1496" s="10"/>
      <c r="I1496" s="10" t="s">
        <v>70</v>
      </c>
      <c r="J1496" s="10"/>
      <c r="K1496" s="10" t="s">
        <v>72</v>
      </c>
      <c r="L1496" s="10"/>
    </row>
  </sheetData>
  <mergeCells count="2000">
    <mergeCell ref="C8:D8"/>
    <mergeCell ref="J8:K8"/>
    <mergeCell ref="B26:C26"/>
    <mergeCell ref="D25:E25"/>
    <mergeCell ref="D26:E26"/>
    <mergeCell ref="I26:J26"/>
    <mergeCell ref="K25:L25"/>
    <mergeCell ref="K26:L26"/>
    <mergeCell ref="C38:D38"/>
    <mergeCell ref="J38:K38"/>
    <mergeCell ref="B56:C56"/>
    <mergeCell ref="D55:E55"/>
    <mergeCell ref="D56:E56"/>
    <mergeCell ref="I56:J56"/>
    <mergeCell ref="K55:L55"/>
    <mergeCell ref="K56:L56"/>
    <mergeCell ref="C68:D68"/>
    <mergeCell ref="J68:K68"/>
    <mergeCell ref="B86:C86"/>
    <mergeCell ref="D85:E85"/>
    <mergeCell ref="D86:E86"/>
    <mergeCell ref="I86:J86"/>
    <mergeCell ref="K85:L85"/>
    <mergeCell ref="K86:L86"/>
    <mergeCell ref="C98:D98"/>
    <mergeCell ref="J98:K98"/>
    <mergeCell ref="B116:C116"/>
    <mergeCell ref="D115:E115"/>
    <mergeCell ref="D116:E116"/>
    <mergeCell ref="I116:J116"/>
    <mergeCell ref="K115:L115"/>
    <mergeCell ref="K116:L116"/>
    <mergeCell ref="C128:D128"/>
    <mergeCell ref="J128:K128"/>
    <mergeCell ref="B146:C146"/>
    <mergeCell ref="D145:E145"/>
    <mergeCell ref="D146:E146"/>
    <mergeCell ref="I146:J146"/>
    <mergeCell ref="K145:L145"/>
    <mergeCell ref="K146:L146"/>
    <mergeCell ref="C158:D158"/>
    <mergeCell ref="J158:K158"/>
    <mergeCell ref="B176:C176"/>
    <mergeCell ref="D175:E175"/>
    <mergeCell ref="D176:E176"/>
    <mergeCell ref="I176:J176"/>
    <mergeCell ref="K175:L175"/>
    <mergeCell ref="K176:L176"/>
    <mergeCell ref="C188:D188"/>
    <mergeCell ref="J188:K188"/>
    <mergeCell ref="B206:C206"/>
    <mergeCell ref="D205:E205"/>
    <mergeCell ref="D206:E206"/>
    <mergeCell ref="I206:J206"/>
    <mergeCell ref="K205:L205"/>
    <mergeCell ref="K206:L206"/>
    <mergeCell ref="C218:D218"/>
    <mergeCell ref="J218:K218"/>
    <mergeCell ref="B236:C236"/>
    <mergeCell ref="D235:E235"/>
    <mergeCell ref="D236:E236"/>
    <mergeCell ref="I236:J236"/>
    <mergeCell ref="K235:L235"/>
    <mergeCell ref="K236:L236"/>
    <mergeCell ref="C248:D248"/>
    <mergeCell ref="J248:K248"/>
    <mergeCell ref="B266:C266"/>
    <mergeCell ref="D265:E265"/>
    <mergeCell ref="D266:E266"/>
    <mergeCell ref="I266:J266"/>
    <mergeCell ref="K265:L265"/>
    <mergeCell ref="K266:L266"/>
    <mergeCell ref="C278:D278"/>
    <mergeCell ref="J278:K278"/>
    <mergeCell ref="B296:C296"/>
    <mergeCell ref="D295:E295"/>
    <mergeCell ref="D296:E296"/>
    <mergeCell ref="I296:J296"/>
    <mergeCell ref="K295:L295"/>
    <mergeCell ref="K296:L296"/>
    <mergeCell ref="C308:D308"/>
    <mergeCell ref="J308:K308"/>
    <mergeCell ref="B326:C326"/>
    <mergeCell ref="D325:E325"/>
    <mergeCell ref="D326:E326"/>
    <mergeCell ref="I326:J326"/>
    <mergeCell ref="K325:L325"/>
    <mergeCell ref="K326:L326"/>
    <mergeCell ref="C338:D338"/>
    <mergeCell ref="J338:K338"/>
    <mergeCell ref="B356:C356"/>
    <mergeCell ref="D355:E355"/>
    <mergeCell ref="D356:E356"/>
    <mergeCell ref="I356:J356"/>
    <mergeCell ref="K355:L355"/>
    <mergeCell ref="K356:L356"/>
    <mergeCell ref="C368:D368"/>
    <mergeCell ref="J368:K368"/>
    <mergeCell ref="B386:C386"/>
    <mergeCell ref="D385:E385"/>
    <mergeCell ref="D386:E386"/>
    <mergeCell ref="I386:J386"/>
    <mergeCell ref="K385:L385"/>
    <mergeCell ref="K386:L386"/>
    <mergeCell ref="C398:D398"/>
    <mergeCell ref="J398:K398"/>
    <mergeCell ref="B416:C416"/>
    <mergeCell ref="D415:E415"/>
    <mergeCell ref="D416:E416"/>
    <mergeCell ref="I416:J416"/>
    <mergeCell ref="K415:L415"/>
    <mergeCell ref="K416:L416"/>
    <mergeCell ref="C428:D428"/>
    <mergeCell ref="J428:K428"/>
    <mergeCell ref="B446:C446"/>
    <mergeCell ref="D445:E445"/>
    <mergeCell ref="D446:E446"/>
    <mergeCell ref="I446:J446"/>
    <mergeCell ref="K445:L445"/>
    <mergeCell ref="K446:L446"/>
    <mergeCell ref="C458:D458"/>
    <mergeCell ref="J458:K458"/>
    <mergeCell ref="B476:C476"/>
    <mergeCell ref="D475:E475"/>
    <mergeCell ref="D476:E476"/>
    <mergeCell ref="I476:J476"/>
    <mergeCell ref="K475:L475"/>
    <mergeCell ref="K476:L476"/>
    <mergeCell ref="C488:D488"/>
    <mergeCell ref="J488:K488"/>
    <mergeCell ref="B506:C506"/>
    <mergeCell ref="D505:E505"/>
    <mergeCell ref="D506:E506"/>
    <mergeCell ref="I506:J506"/>
    <mergeCell ref="K505:L505"/>
    <mergeCell ref="K506:L506"/>
    <mergeCell ref="C518:D518"/>
    <mergeCell ref="J518:K518"/>
    <mergeCell ref="B536:C536"/>
    <mergeCell ref="D535:E535"/>
    <mergeCell ref="D536:E536"/>
    <mergeCell ref="I536:J536"/>
    <mergeCell ref="K535:L535"/>
    <mergeCell ref="K536:L536"/>
    <mergeCell ref="C548:D548"/>
    <mergeCell ref="J548:K548"/>
    <mergeCell ref="B566:C566"/>
    <mergeCell ref="D565:E565"/>
    <mergeCell ref="D566:E566"/>
    <mergeCell ref="I566:J566"/>
    <mergeCell ref="K565:L565"/>
    <mergeCell ref="K566:L566"/>
    <mergeCell ref="C578:D578"/>
    <mergeCell ref="J578:K578"/>
    <mergeCell ref="B596:C596"/>
    <mergeCell ref="D595:E595"/>
    <mergeCell ref="D596:E596"/>
    <mergeCell ref="I596:J596"/>
    <mergeCell ref="K595:L595"/>
    <mergeCell ref="K596:L596"/>
    <mergeCell ref="C608:D608"/>
    <mergeCell ref="J608:K608"/>
    <mergeCell ref="B626:C626"/>
    <mergeCell ref="D625:E625"/>
    <mergeCell ref="D626:E626"/>
    <mergeCell ref="I626:J626"/>
    <mergeCell ref="K625:L625"/>
    <mergeCell ref="K626:L626"/>
    <mergeCell ref="C638:D638"/>
    <mergeCell ref="J638:K638"/>
    <mergeCell ref="B656:C656"/>
    <mergeCell ref="D655:E655"/>
    <mergeCell ref="D656:E656"/>
    <mergeCell ref="I656:J656"/>
    <mergeCell ref="K655:L655"/>
    <mergeCell ref="K656:L656"/>
    <mergeCell ref="C668:D668"/>
    <mergeCell ref="J668:K668"/>
    <mergeCell ref="B686:C686"/>
    <mergeCell ref="D685:E685"/>
    <mergeCell ref="D686:E686"/>
    <mergeCell ref="I686:J686"/>
    <mergeCell ref="K685:L685"/>
    <mergeCell ref="K686:L686"/>
    <mergeCell ref="C698:D698"/>
    <mergeCell ref="J698:K698"/>
    <mergeCell ref="B716:C716"/>
    <mergeCell ref="D715:E715"/>
    <mergeCell ref="D716:E716"/>
    <mergeCell ref="I716:J716"/>
    <mergeCell ref="K715:L715"/>
    <mergeCell ref="K716:L716"/>
    <mergeCell ref="C728:D728"/>
    <mergeCell ref="J728:K728"/>
    <mergeCell ref="B746:C746"/>
    <mergeCell ref="D745:E745"/>
    <mergeCell ref="D746:E746"/>
    <mergeCell ref="I746:J746"/>
    <mergeCell ref="K745:L745"/>
    <mergeCell ref="K746:L746"/>
    <mergeCell ref="C758:D758"/>
    <mergeCell ref="J758:K758"/>
    <mergeCell ref="B776:C776"/>
    <mergeCell ref="D775:E775"/>
    <mergeCell ref="D776:E776"/>
    <mergeCell ref="I776:J776"/>
    <mergeCell ref="K775:L775"/>
    <mergeCell ref="K776:L776"/>
    <mergeCell ref="C788:D788"/>
    <mergeCell ref="J788:K788"/>
    <mergeCell ref="B806:C806"/>
    <mergeCell ref="D805:E805"/>
    <mergeCell ref="D806:E806"/>
    <mergeCell ref="I806:J806"/>
    <mergeCell ref="K805:L805"/>
    <mergeCell ref="K806:L806"/>
    <mergeCell ref="C818:D818"/>
    <mergeCell ref="J818:K818"/>
    <mergeCell ref="B836:C836"/>
    <mergeCell ref="D835:E835"/>
    <mergeCell ref="D836:E836"/>
    <mergeCell ref="I836:J836"/>
    <mergeCell ref="K835:L835"/>
    <mergeCell ref="K836:L836"/>
    <mergeCell ref="C848:D848"/>
    <mergeCell ref="J848:K848"/>
    <mergeCell ref="B866:C866"/>
    <mergeCell ref="D865:E865"/>
    <mergeCell ref="D866:E866"/>
    <mergeCell ref="I866:J866"/>
    <mergeCell ref="K865:L865"/>
    <mergeCell ref="K866:L866"/>
    <mergeCell ref="C878:D878"/>
    <mergeCell ref="J878:K878"/>
    <mergeCell ref="B896:C896"/>
    <mergeCell ref="D895:E895"/>
    <mergeCell ref="D896:E896"/>
    <mergeCell ref="I896:J896"/>
    <mergeCell ref="K895:L895"/>
    <mergeCell ref="K896:L896"/>
    <mergeCell ref="C908:D908"/>
    <mergeCell ref="J908:K908"/>
    <mergeCell ref="B926:C926"/>
    <mergeCell ref="D925:E925"/>
    <mergeCell ref="D926:E926"/>
    <mergeCell ref="I926:J926"/>
    <mergeCell ref="K925:L925"/>
    <mergeCell ref="K926:L926"/>
    <mergeCell ref="C938:D938"/>
    <mergeCell ref="J938:K938"/>
    <mergeCell ref="B956:C956"/>
    <mergeCell ref="D955:E955"/>
    <mergeCell ref="D956:E956"/>
    <mergeCell ref="I956:J956"/>
    <mergeCell ref="K955:L955"/>
    <mergeCell ref="K956:L956"/>
    <mergeCell ref="C968:D968"/>
    <mergeCell ref="J968:K968"/>
    <mergeCell ref="B986:C986"/>
    <mergeCell ref="D985:E985"/>
    <mergeCell ref="D986:E986"/>
    <mergeCell ref="I986:J986"/>
    <mergeCell ref="K985:L985"/>
    <mergeCell ref="K986:L986"/>
    <mergeCell ref="C998:D998"/>
    <mergeCell ref="J998:K998"/>
    <mergeCell ref="B1016:C1016"/>
    <mergeCell ref="D1015:E1015"/>
    <mergeCell ref="D1016:E1016"/>
    <mergeCell ref="I1016:J1016"/>
    <mergeCell ref="K1015:L1015"/>
    <mergeCell ref="K1016:L1016"/>
    <mergeCell ref="C1028:D1028"/>
    <mergeCell ref="J1028:K1028"/>
    <mergeCell ref="B1046:C1046"/>
    <mergeCell ref="D1045:E1045"/>
    <mergeCell ref="D1046:E1046"/>
    <mergeCell ref="I1046:J1046"/>
    <mergeCell ref="K1045:L1045"/>
    <mergeCell ref="K1046:L1046"/>
    <mergeCell ref="C1058:D1058"/>
    <mergeCell ref="J1058:K1058"/>
    <mergeCell ref="B1076:C1076"/>
    <mergeCell ref="D1075:E1075"/>
    <mergeCell ref="D1076:E1076"/>
    <mergeCell ref="I1076:J1076"/>
    <mergeCell ref="K1075:L1075"/>
    <mergeCell ref="K1076:L1076"/>
    <mergeCell ref="C1088:D1088"/>
    <mergeCell ref="J1088:K1088"/>
    <mergeCell ref="B1106:C1106"/>
    <mergeCell ref="D1105:E1105"/>
    <mergeCell ref="D1106:E1106"/>
    <mergeCell ref="I1106:J1106"/>
    <mergeCell ref="K1105:L1105"/>
    <mergeCell ref="K1106:L1106"/>
    <mergeCell ref="C1118:D1118"/>
    <mergeCell ref="J1118:K1118"/>
    <mergeCell ref="B1136:C1136"/>
    <mergeCell ref="D1135:E1135"/>
    <mergeCell ref="D1136:E1136"/>
    <mergeCell ref="I1136:J1136"/>
    <mergeCell ref="K1135:L1135"/>
    <mergeCell ref="K1136:L1136"/>
    <mergeCell ref="C1148:D1148"/>
    <mergeCell ref="J1148:K1148"/>
    <mergeCell ref="B1166:C1166"/>
    <mergeCell ref="D1165:E1165"/>
    <mergeCell ref="D1166:E1166"/>
    <mergeCell ref="I1166:J1166"/>
    <mergeCell ref="K1165:L1165"/>
    <mergeCell ref="K1166:L1166"/>
    <mergeCell ref="C1178:D1178"/>
    <mergeCell ref="J1178:K1178"/>
    <mergeCell ref="B1196:C1196"/>
    <mergeCell ref="D1195:E1195"/>
    <mergeCell ref="D1196:E1196"/>
    <mergeCell ref="I1196:J1196"/>
    <mergeCell ref="K1195:L1195"/>
    <mergeCell ref="K1196:L1196"/>
    <mergeCell ref="C1208:D1208"/>
    <mergeCell ref="J1208:K1208"/>
    <mergeCell ref="B1226:C1226"/>
    <mergeCell ref="D1225:E1225"/>
    <mergeCell ref="D1226:E1226"/>
    <mergeCell ref="I1226:J1226"/>
    <mergeCell ref="K1225:L1225"/>
    <mergeCell ref="K1226:L1226"/>
    <mergeCell ref="C1238:D1238"/>
    <mergeCell ref="J1238:K1238"/>
    <mergeCell ref="B1256:C1256"/>
    <mergeCell ref="D1255:E1255"/>
    <mergeCell ref="D1256:E1256"/>
    <mergeCell ref="I1256:J1256"/>
    <mergeCell ref="K1255:L1255"/>
    <mergeCell ref="K1256:L1256"/>
    <mergeCell ref="C1268:D1268"/>
    <mergeCell ref="J1268:K1268"/>
    <mergeCell ref="B1286:C1286"/>
    <mergeCell ref="D1285:E1285"/>
    <mergeCell ref="D1286:E1286"/>
    <mergeCell ref="I1286:J1286"/>
    <mergeCell ref="K1285:L1285"/>
    <mergeCell ref="K1286:L1286"/>
    <mergeCell ref="C1298:D1298"/>
    <mergeCell ref="J1298:K1298"/>
    <mergeCell ref="B1316:C1316"/>
    <mergeCell ref="D1315:E1315"/>
    <mergeCell ref="D1316:E1316"/>
    <mergeCell ref="I1316:J1316"/>
    <mergeCell ref="K1315:L1315"/>
    <mergeCell ref="K1316:L1316"/>
    <mergeCell ref="C1328:D1328"/>
    <mergeCell ref="J1328:K1328"/>
    <mergeCell ref="B1346:C1346"/>
    <mergeCell ref="D1345:E1345"/>
    <mergeCell ref="D1346:E1346"/>
    <mergeCell ref="I1346:J1346"/>
    <mergeCell ref="K1345:L1345"/>
    <mergeCell ref="K1346:L1346"/>
    <mergeCell ref="C1358:D1358"/>
    <mergeCell ref="J1358:K1358"/>
    <mergeCell ref="B1376:C1376"/>
    <mergeCell ref="D1375:E1375"/>
    <mergeCell ref="D1376:E1376"/>
    <mergeCell ref="I1376:J1376"/>
    <mergeCell ref="K1375:L1375"/>
    <mergeCell ref="K1376:L1376"/>
    <mergeCell ref="C1388:D1388"/>
    <mergeCell ref="J1388:K1388"/>
    <mergeCell ref="B1406:C1406"/>
    <mergeCell ref="D1405:E1405"/>
    <mergeCell ref="D1406:E1406"/>
    <mergeCell ref="I1406:J1406"/>
    <mergeCell ref="K1405:L1405"/>
    <mergeCell ref="K1406:L1406"/>
    <mergeCell ref="C1418:D1418"/>
    <mergeCell ref="J1418:K1418"/>
    <mergeCell ref="B1436:C1436"/>
    <mergeCell ref="D1435:E1435"/>
    <mergeCell ref="D1436:E1436"/>
    <mergeCell ref="I1436:J1436"/>
    <mergeCell ref="K1435:L1435"/>
    <mergeCell ref="K1436:L1436"/>
    <mergeCell ref="C1448:D1448"/>
    <mergeCell ref="J1448:K1448"/>
    <mergeCell ref="B1466:C1466"/>
    <mergeCell ref="D1465:E1465"/>
    <mergeCell ref="D1466:E1466"/>
    <mergeCell ref="I1466:J1466"/>
    <mergeCell ref="K1465:L1465"/>
    <mergeCell ref="K1466:L1466"/>
    <mergeCell ref="C1478:D1478"/>
    <mergeCell ref="J1478:K1478"/>
    <mergeCell ref="B1496:C1496"/>
    <mergeCell ref="D1495:E1495"/>
    <mergeCell ref="D1496:E1496"/>
    <mergeCell ref="I1496:J1496"/>
    <mergeCell ref="K1495:L1495"/>
    <mergeCell ref="K1496:L1496"/>
    <mergeCell ref="C8:D8"/>
    <mergeCell ref="J8:K8"/>
    <mergeCell ref="B26:C26"/>
    <mergeCell ref="D25:E25"/>
    <mergeCell ref="D26:E26"/>
    <mergeCell ref="I26:J26"/>
    <mergeCell ref="K25:L25"/>
    <mergeCell ref="K26:L26"/>
    <mergeCell ref="C38:D38"/>
    <mergeCell ref="J38:K38"/>
    <mergeCell ref="B56:C56"/>
    <mergeCell ref="D55:E55"/>
    <mergeCell ref="D56:E56"/>
    <mergeCell ref="I56:J56"/>
    <mergeCell ref="K55:L55"/>
    <mergeCell ref="K56:L56"/>
    <mergeCell ref="C68:D68"/>
    <mergeCell ref="J68:K68"/>
    <mergeCell ref="B86:C86"/>
    <mergeCell ref="D85:E85"/>
    <mergeCell ref="D86:E86"/>
    <mergeCell ref="I86:J86"/>
    <mergeCell ref="K85:L85"/>
    <mergeCell ref="K86:L86"/>
    <mergeCell ref="C98:D98"/>
    <mergeCell ref="J98:K98"/>
    <mergeCell ref="B116:C116"/>
    <mergeCell ref="D115:E115"/>
    <mergeCell ref="D116:E116"/>
    <mergeCell ref="I116:J116"/>
    <mergeCell ref="K115:L115"/>
    <mergeCell ref="K116:L116"/>
    <mergeCell ref="C128:D128"/>
    <mergeCell ref="J128:K128"/>
    <mergeCell ref="B146:C146"/>
    <mergeCell ref="D145:E145"/>
    <mergeCell ref="D146:E146"/>
    <mergeCell ref="I146:J146"/>
    <mergeCell ref="K145:L145"/>
    <mergeCell ref="K146:L146"/>
    <mergeCell ref="C158:D158"/>
    <mergeCell ref="J158:K158"/>
    <mergeCell ref="B176:C176"/>
    <mergeCell ref="D175:E175"/>
    <mergeCell ref="D176:E176"/>
    <mergeCell ref="I176:J176"/>
    <mergeCell ref="K175:L175"/>
    <mergeCell ref="K176:L176"/>
    <mergeCell ref="C188:D188"/>
    <mergeCell ref="J188:K188"/>
    <mergeCell ref="B206:C206"/>
    <mergeCell ref="D205:E205"/>
    <mergeCell ref="D206:E206"/>
    <mergeCell ref="I206:J206"/>
    <mergeCell ref="K205:L205"/>
    <mergeCell ref="K206:L206"/>
    <mergeCell ref="C218:D218"/>
    <mergeCell ref="J218:K218"/>
    <mergeCell ref="B236:C236"/>
    <mergeCell ref="D235:E235"/>
    <mergeCell ref="D236:E236"/>
    <mergeCell ref="I236:J236"/>
    <mergeCell ref="K235:L235"/>
    <mergeCell ref="K236:L236"/>
    <mergeCell ref="C248:D248"/>
    <mergeCell ref="J248:K248"/>
    <mergeCell ref="B266:C266"/>
    <mergeCell ref="D265:E265"/>
    <mergeCell ref="D266:E266"/>
    <mergeCell ref="I266:J266"/>
    <mergeCell ref="K265:L265"/>
    <mergeCell ref="K266:L266"/>
    <mergeCell ref="C278:D278"/>
    <mergeCell ref="J278:K278"/>
    <mergeCell ref="B296:C296"/>
    <mergeCell ref="D295:E295"/>
    <mergeCell ref="D296:E296"/>
    <mergeCell ref="I296:J296"/>
    <mergeCell ref="K295:L295"/>
    <mergeCell ref="K296:L296"/>
    <mergeCell ref="C308:D308"/>
    <mergeCell ref="J308:K308"/>
    <mergeCell ref="B326:C326"/>
    <mergeCell ref="D325:E325"/>
    <mergeCell ref="D326:E326"/>
    <mergeCell ref="I326:J326"/>
    <mergeCell ref="K325:L325"/>
    <mergeCell ref="K326:L326"/>
    <mergeCell ref="C338:D338"/>
    <mergeCell ref="J338:K338"/>
    <mergeCell ref="B356:C356"/>
    <mergeCell ref="D355:E355"/>
    <mergeCell ref="D356:E356"/>
    <mergeCell ref="I356:J356"/>
    <mergeCell ref="K355:L355"/>
    <mergeCell ref="K356:L356"/>
    <mergeCell ref="C368:D368"/>
    <mergeCell ref="J368:K368"/>
    <mergeCell ref="B386:C386"/>
    <mergeCell ref="D385:E385"/>
    <mergeCell ref="D386:E386"/>
    <mergeCell ref="I386:J386"/>
    <mergeCell ref="K385:L385"/>
    <mergeCell ref="K386:L386"/>
    <mergeCell ref="C398:D398"/>
    <mergeCell ref="J398:K398"/>
    <mergeCell ref="B416:C416"/>
    <mergeCell ref="D415:E415"/>
    <mergeCell ref="D416:E416"/>
    <mergeCell ref="I416:J416"/>
    <mergeCell ref="K415:L415"/>
    <mergeCell ref="K416:L416"/>
    <mergeCell ref="C428:D428"/>
    <mergeCell ref="J428:K428"/>
    <mergeCell ref="B446:C446"/>
    <mergeCell ref="D445:E445"/>
    <mergeCell ref="D446:E446"/>
    <mergeCell ref="I446:J446"/>
    <mergeCell ref="K445:L445"/>
    <mergeCell ref="K446:L446"/>
    <mergeCell ref="C458:D458"/>
    <mergeCell ref="J458:K458"/>
    <mergeCell ref="B476:C476"/>
    <mergeCell ref="D475:E475"/>
    <mergeCell ref="D476:E476"/>
    <mergeCell ref="I476:J476"/>
    <mergeCell ref="K475:L475"/>
    <mergeCell ref="K476:L476"/>
    <mergeCell ref="C488:D488"/>
    <mergeCell ref="J488:K488"/>
    <mergeCell ref="B506:C506"/>
    <mergeCell ref="D505:E505"/>
    <mergeCell ref="D506:E506"/>
    <mergeCell ref="I506:J506"/>
    <mergeCell ref="K505:L505"/>
    <mergeCell ref="K506:L506"/>
    <mergeCell ref="C518:D518"/>
    <mergeCell ref="J518:K518"/>
    <mergeCell ref="B536:C536"/>
    <mergeCell ref="D535:E535"/>
    <mergeCell ref="D536:E536"/>
    <mergeCell ref="I536:J536"/>
    <mergeCell ref="K535:L535"/>
    <mergeCell ref="K536:L536"/>
    <mergeCell ref="C548:D548"/>
    <mergeCell ref="J548:K548"/>
    <mergeCell ref="B566:C566"/>
    <mergeCell ref="D565:E565"/>
    <mergeCell ref="D566:E566"/>
    <mergeCell ref="I566:J566"/>
    <mergeCell ref="K565:L565"/>
    <mergeCell ref="K566:L566"/>
    <mergeCell ref="C578:D578"/>
    <mergeCell ref="J578:K578"/>
    <mergeCell ref="B596:C596"/>
    <mergeCell ref="D595:E595"/>
    <mergeCell ref="D596:E596"/>
    <mergeCell ref="I596:J596"/>
    <mergeCell ref="K595:L595"/>
    <mergeCell ref="K596:L596"/>
    <mergeCell ref="C608:D608"/>
    <mergeCell ref="J608:K608"/>
    <mergeCell ref="B626:C626"/>
    <mergeCell ref="D625:E625"/>
    <mergeCell ref="D626:E626"/>
    <mergeCell ref="I626:J626"/>
    <mergeCell ref="K625:L625"/>
    <mergeCell ref="K626:L626"/>
    <mergeCell ref="C638:D638"/>
    <mergeCell ref="J638:K638"/>
    <mergeCell ref="B656:C656"/>
    <mergeCell ref="D655:E655"/>
    <mergeCell ref="D656:E656"/>
    <mergeCell ref="I656:J656"/>
    <mergeCell ref="K655:L655"/>
    <mergeCell ref="K656:L656"/>
    <mergeCell ref="C668:D668"/>
    <mergeCell ref="J668:K668"/>
    <mergeCell ref="B686:C686"/>
    <mergeCell ref="D685:E685"/>
    <mergeCell ref="D686:E686"/>
    <mergeCell ref="I686:J686"/>
    <mergeCell ref="K685:L685"/>
    <mergeCell ref="K686:L686"/>
    <mergeCell ref="C698:D698"/>
    <mergeCell ref="J698:K698"/>
    <mergeCell ref="B716:C716"/>
    <mergeCell ref="D715:E715"/>
    <mergeCell ref="D716:E716"/>
    <mergeCell ref="I716:J716"/>
    <mergeCell ref="K715:L715"/>
    <mergeCell ref="K716:L716"/>
    <mergeCell ref="C728:D728"/>
    <mergeCell ref="J728:K728"/>
    <mergeCell ref="B746:C746"/>
    <mergeCell ref="D745:E745"/>
    <mergeCell ref="D746:E746"/>
    <mergeCell ref="I746:J746"/>
    <mergeCell ref="K745:L745"/>
    <mergeCell ref="K746:L746"/>
    <mergeCell ref="C758:D758"/>
    <mergeCell ref="J758:K758"/>
    <mergeCell ref="B776:C776"/>
    <mergeCell ref="D775:E775"/>
    <mergeCell ref="D776:E776"/>
    <mergeCell ref="I776:J776"/>
    <mergeCell ref="K775:L775"/>
    <mergeCell ref="K776:L776"/>
    <mergeCell ref="C788:D788"/>
    <mergeCell ref="J788:K788"/>
    <mergeCell ref="B806:C806"/>
    <mergeCell ref="D805:E805"/>
    <mergeCell ref="D806:E806"/>
    <mergeCell ref="I806:J806"/>
    <mergeCell ref="K805:L805"/>
    <mergeCell ref="K806:L806"/>
    <mergeCell ref="C818:D818"/>
    <mergeCell ref="J818:K818"/>
    <mergeCell ref="B836:C836"/>
    <mergeCell ref="D835:E835"/>
    <mergeCell ref="D836:E836"/>
    <mergeCell ref="I836:J836"/>
    <mergeCell ref="K835:L835"/>
    <mergeCell ref="K836:L836"/>
    <mergeCell ref="C848:D848"/>
    <mergeCell ref="J848:K848"/>
    <mergeCell ref="B866:C866"/>
    <mergeCell ref="D865:E865"/>
    <mergeCell ref="D866:E866"/>
    <mergeCell ref="I866:J866"/>
    <mergeCell ref="K865:L865"/>
    <mergeCell ref="K866:L866"/>
    <mergeCell ref="C878:D878"/>
    <mergeCell ref="J878:K878"/>
    <mergeCell ref="B896:C896"/>
    <mergeCell ref="D895:E895"/>
    <mergeCell ref="D896:E896"/>
    <mergeCell ref="I896:J896"/>
    <mergeCell ref="K895:L895"/>
    <mergeCell ref="K896:L896"/>
    <mergeCell ref="C908:D908"/>
    <mergeCell ref="J908:K908"/>
    <mergeCell ref="B926:C926"/>
    <mergeCell ref="D925:E925"/>
    <mergeCell ref="D926:E926"/>
    <mergeCell ref="I926:J926"/>
    <mergeCell ref="K925:L925"/>
    <mergeCell ref="K926:L926"/>
    <mergeCell ref="C938:D938"/>
    <mergeCell ref="J938:K938"/>
    <mergeCell ref="B956:C956"/>
    <mergeCell ref="D955:E955"/>
    <mergeCell ref="D956:E956"/>
    <mergeCell ref="I956:J956"/>
    <mergeCell ref="K955:L955"/>
    <mergeCell ref="K956:L956"/>
    <mergeCell ref="C968:D968"/>
    <mergeCell ref="J968:K968"/>
    <mergeCell ref="B986:C986"/>
    <mergeCell ref="D985:E985"/>
    <mergeCell ref="D986:E986"/>
    <mergeCell ref="I986:J986"/>
    <mergeCell ref="K985:L985"/>
    <mergeCell ref="K986:L986"/>
    <mergeCell ref="C998:D998"/>
    <mergeCell ref="J998:K998"/>
    <mergeCell ref="B1016:C1016"/>
    <mergeCell ref="D1015:E1015"/>
    <mergeCell ref="D1016:E1016"/>
    <mergeCell ref="I1016:J1016"/>
    <mergeCell ref="K1015:L1015"/>
    <mergeCell ref="K1016:L1016"/>
    <mergeCell ref="C1028:D1028"/>
    <mergeCell ref="J1028:K1028"/>
    <mergeCell ref="B1046:C1046"/>
    <mergeCell ref="D1045:E1045"/>
    <mergeCell ref="D1046:E1046"/>
    <mergeCell ref="I1046:J1046"/>
    <mergeCell ref="K1045:L1045"/>
    <mergeCell ref="K1046:L1046"/>
    <mergeCell ref="C1058:D1058"/>
    <mergeCell ref="J1058:K1058"/>
    <mergeCell ref="B1076:C1076"/>
    <mergeCell ref="D1075:E1075"/>
    <mergeCell ref="D1076:E1076"/>
    <mergeCell ref="I1076:J1076"/>
    <mergeCell ref="K1075:L1075"/>
    <mergeCell ref="K1076:L1076"/>
    <mergeCell ref="C1088:D1088"/>
    <mergeCell ref="J1088:K1088"/>
    <mergeCell ref="B1106:C1106"/>
    <mergeCell ref="D1105:E1105"/>
    <mergeCell ref="D1106:E1106"/>
    <mergeCell ref="I1106:J1106"/>
    <mergeCell ref="K1105:L1105"/>
    <mergeCell ref="K1106:L1106"/>
    <mergeCell ref="C1118:D1118"/>
    <mergeCell ref="J1118:K1118"/>
    <mergeCell ref="B1136:C1136"/>
    <mergeCell ref="D1135:E1135"/>
    <mergeCell ref="D1136:E1136"/>
    <mergeCell ref="I1136:J1136"/>
    <mergeCell ref="K1135:L1135"/>
    <mergeCell ref="K1136:L1136"/>
    <mergeCell ref="C1148:D1148"/>
    <mergeCell ref="J1148:K1148"/>
    <mergeCell ref="B1166:C1166"/>
    <mergeCell ref="D1165:E1165"/>
    <mergeCell ref="D1166:E1166"/>
    <mergeCell ref="I1166:J1166"/>
    <mergeCell ref="K1165:L1165"/>
    <mergeCell ref="K1166:L1166"/>
    <mergeCell ref="C1178:D1178"/>
    <mergeCell ref="J1178:K1178"/>
    <mergeCell ref="B1196:C1196"/>
    <mergeCell ref="D1195:E1195"/>
    <mergeCell ref="D1196:E1196"/>
    <mergeCell ref="I1196:J1196"/>
    <mergeCell ref="K1195:L1195"/>
    <mergeCell ref="K1196:L1196"/>
    <mergeCell ref="C1208:D1208"/>
    <mergeCell ref="J1208:K1208"/>
    <mergeCell ref="B1226:C1226"/>
    <mergeCell ref="D1225:E1225"/>
    <mergeCell ref="D1226:E1226"/>
    <mergeCell ref="I1226:J1226"/>
    <mergeCell ref="K1225:L1225"/>
    <mergeCell ref="K1226:L1226"/>
    <mergeCell ref="C1238:D1238"/>
    <mergeCell ref="J1238:K1238"/>
    <mergeCell ref="B1256:C1256"/>
    <mergeCell ref="D1255:E1255"/>
    <mergeCell ref="D1256:E1256"/>
    <mergeCell ref="I1256:J1256"/>
    <mergeCell ref="K1255:L1255"/>
    <mergeCell ref="K1256:L1256"/>
    <mergeCell ref="C1268:D1268"/>
    <mergeCell ref="J1268:K1268"/>
    <mergeCell ref="B1286:C1286"/>
    <mergeCell ref="D1285:E1285"/>
    <mergeCell ref="D1286:E1286"/>
    <mergeCell ref="I1286:J1286"/>
    <mergeCell ref="K1285:L1285"/>
    <mergeCell ref="K1286:L1286"/>
    <mergeCell ref="C1298:D1298"/>
    <mergeCell ref="J1298:K1298"/>
    <mergeCell ref="B1316:C1316"/>
    <mergeCell ref="D1315:E1315"/>
    <mergeCell ref="D1316:E1316"/>
    <mergeCell ref="I1316:J1316"/>
    <mergeCell ref="K1315:L1315"/>
    <mergeCell ref="K1316:L1316"/>
    <mergeCell ref="C1328:D1328"/>
    <mergeCell ref="J1328:K1328"/>
    <mergeCell ref="B1346:C1346"/>
    <mergeCell ref="D1345:E1345"/>
    <mergeCell ref="D1346:E1346"/>
    <mergeCell ref="I1346:J1346"/>
    <mergeCell ref="K1345:L1345"/>
    <mergeCell ref="K1346:L1346"/>
    <mergeCell ref="C1358:D1358"/>
    <mergeCell ref="J1358:K1358"/>
    <mergeCell ref="B1376:C1376"/>
    <mergeCell ref="D1375:E1375"/>
    <mergeCell ref="D1376:E1376"/>
    <mergeCell ref="I1376:J1376"/>
    <mergeCell ref="K1375:L1375"/>
    <mergeCell ref="K1376:L1376"/>
    <mergeCell ref="C1388:D1388"/>
    <mergeCell ref="J1388:K1388"/>
    <mergeCell ref="B1406:C1406"/>
    <mergeCell ref="D1405:E1405"/>
    <mergeCell ref="D1406:E1406"/>
    <mergeCell ref="I1406:J1406"/>
    <mergeCell ref="K1405:L1405"/>
    <mergeCell ref="K1406:L1406"/>
    <mergeCell ref="C1418:D1418"/>
    <mergeCell ref="J1418:K1418"/>
    <mergeCell ref="B1436:C1436"/>
    <mergeCell ref="D1435:E1435"/>
    <mergeCell ref="D1436:E1436"/>
    <mergeCell ref="I1436:J1436"/>
    <mergeCell ref="K1435:L1435"/>
    <mergeCell ref="K1436:L1436"/>
    <mergeCell ref="C1448:D1448"/>
    <mergeCell ref="J1448:K1448"/>
    <mergeCell ref="B1466:C1466"/>
    <mergeCell ref="D1465:E1465"/>
    <mergeCell ref="D1466:E1466"/>
    <mergeCell ref="I1466:J1466"/>
    <mergeCell ref="K1465:L1465"/>
    <mergeCell ref="K1466:L1466"/>
    <mergeCell ref="C1478:D1478"/>
    <mergeCell ref="J1478:K1478"/>
    <mergeCell ref="B1496:C1496"/>
    <mergeCell ref="D1495:E1495"/>
    <mergeCell ref="D1496:E1496"/>
    <mergeCell ref="I1496:J1496"/>
    <mergeCell ref="K1495:L1495"/>
    <mergeCell ref="K1496:L1496"/>
    <mergeCell ref="C8:D8"/>
    <mergeCell ref="J8:K8"/>
    <mergeCell ref="B26:C26"/>
    <mergeCell ref="D25:E25"/>
    <mergeCell ref="D26:E26"/>
    <mergeCell ref="I26:J26"/>
    <mergeCell ref="K25:L25"/>
    <mergeCell ref="K26:L26"/>
    <mergeCell ref="C38:D38"/>
    <mergeCell ref="J38:K38"/>
    <mergeCell ref="B56:C56"/>
    <mergeCell ref="D55:E55"/>
    <mergeCell ref="D56:E56"/>
    <mergeCell ref="I56:J56"/>
    <mergeCell ref="K55:L55"/>
    <mergeCell ref="K56:L56"/>
    <mergeCell ref="C68:D68"/>
    <mergeCell ref="J68:K68"/>
    <mergeCell ref="B86:C86"/>
    <mergeCell ref="D85:E85"/>
    <mergeCell ref="D86:E86"/>
    <mergeCell ref="I86:J86"/>
    <mergeCell ref="K85:L85"/>
    <mergeCell ref="K86:L86"/>
    <mergeCell ref="C98:D98"/>
    <mergeCell ref="J98:K98"/>
    <mergeCell ref="B116:C116"/>
    <mergeCell ref="D115:E115"/>
    <mergeCell ref="D116:E116"/>
    <mergeCell ref="I116:J116"/>
    <mergeCell ref="K115:L115"/>
    <mergeCell ref="K116:L116"/>
    <mergeCell ref="C128:D128"/>
    <mergeCell ref="J128:K128"/>
    <mergeCell ref="B146:C146"/>
    <mergeCell ref="D145:E145"/>
    <mergeCell ref="D146:E146"/>
    <mergeCell ref="I146:J146"/>
    <mergeCell ref="K145:L145"/>
    <mergeCell ref="K146:L146"/>
    <mergeCell ref="C158:D158"/>
    <mergeCell ref="J158:K158"/>
    <mergeCell ref="B176:C176"/>
    <mergeCell ref="D175:E175"/>
    <mergeCell ref="D176:E176"/>
    <mergeCell ref="I176:J176"/>
    <mergeCell ref="K175:L175"/>
    <mergeCell ref="K176:L176"/>
    <mergeCell ref="C188:D188"/>
    <mergeCell ref="J188:K188"/>
    <mergeCell ref="B206:C206"/>
    <mergeCell ref="D205:E205"/>
    <mergeCell ref="D206:E206"/>
    <mergeCell ref="I206:J206"/>
    <mergeCell ref="K205:L205"/>
    <mergeCell ref="K206:L206"/>
    <mergeCell ref="C218:D218"/>
    <mergeCell ref="J218:K218"/>
    <mergeCell ref="B236:C236"/>
    <mergeCell ref="D235:E235"/>
    <mergeCell ref="D236:E236"/>
    <mergeCell ref="I236:J236"/>
    <mergeCell ref="K235:L235"/>
    <mergeCell ref="K236:L236"/>
    <mergeCell ref="C248:D248"/>
    <mergeCell ref="J248:K248"/>
    <mergeCell ref="B266:C266"/>
    <mergeCell ref="D265:E265"/>
    <mergeCell ref="D266:E266"/>
    <mergeCell ref="I266:J266"/>
    <mergeCell ref="K265:L265"/>
    <mergeCell ref="K266:L266"/>
    <mergeCell ref="C278:D278"/>
    <mergeCell ref="J278:K278"/>
    <mergeCell ref="B296:C296"/>
    <mergeCell ref="D295:E295"/>
    <mergeCell ref="D296:E296"/>
    <mergeCell ref="I296:J296"/>
    <mergeCell ref="K295:L295"/>
    <mergeCell ref="K296:L296"/>
    <mergeCell ref="C308:D308"/>
    <mergeCell ref="J308:K308"/>
    <mergeCell ref="B326:C326"/>
    <mergeCell ref="D325:E325"/>
    <mergeCell ref="D326:E326"/>
    <mergeCell ref="I326:J326"/>
    <mergeCell ref="K325:L325"/>
    <mergeCell ref="K326:L326"/>
    <mergeCell ref="C338:D338"/>
    <mergeCell ref="J338:K338"/>
    <mergeCell ref="B356:C356"/>
    <mergeCell ref="D355:E355"/>
    <mergeCell ref="D356:E356"/>
    <mergeCell ref="I356:J356"/>
    <mergeCell ref="K355:L355"/>
    <mergeCell ref="K356:L356"/>
    <mergeCell ref="C368:D368"/>
    <mergeCell ref="J368:K368"/>
    <mergeCell ref="B386:C386"/>
    <mergeCell ref="D385:E385"/>
    <mergeCell ref="D386:E386"/>
    <mergeCell ref="I386:J386"/>
    <mergeCell ref="K385:L385"/>
    <mergeCell ref="K386:L386"/>
    <mergeCell ref="C398:D398"/>
    <mergeCell ref="J398:K398"/>
    <mergeCell ref="B416:C416"/>
    <mergeCell ref="D415:E415"/>
    <mergeCell ref="D416:E416"/>
    <mergeCell ref="I416:J416"/>
    <mergeCell ref="K415:L415"/>
    <mergeCell ref="K416:L416"/>
    <mergeCell ref="C428:D428"/>
    <mergeCell ref="J428:K428"/>
    <mergeCell ref="B446:C446"/>
    <mergeCell ref="D445:E445"/>
    <mergeCell ref="D446:E446"/>
    <mergeCell ref="I446:J446"/>
    <mergeCell ref="K445:L445"/>
    <mergeCell ref="K446:L446"/>
    <mergeCell ref="C458:D458"/>
    <mergeCell ref="J458:K458"/>
    <mergeCell ref="B476:C476"/>
    <mergeCell ref="D475:E475"/>
    <mergeCell ref="D476:E476"/>
    <mergeCell ref="I476:J476"/>
    <mergeCell ref="K475:L475"/>
    <mergeCell ref="K476:L476"/>
    <mergeCell ref="C488:D488"/>
    <mergeCell ref="J488:K488"/>
    <mergeCell ref="B506:C506"/>
    <mergeCell ref="D505:E505"/>
    <mergeCell ref="D506:E506"/>
    <mergeCell ref="I506:J506"/>
    <mergeCell ref="K505:L505"/>
    <mergeCell ref="K506:L506"/>
    <mergeCell ref="C518:D518"/>
    <mergeCell ref="J518:K518"/>
    <mergeCell ref="B536:C536"/>
    <mergeCell ref="D535:E535"/>
    <mergeCell ref="D536:E536"/>
    <mergeCell ref="I536:J536"/>
    <mergeCell ref="K535:L535"/>
    <mergeCell ref="K536:L536"/>
    <mergeCell ref="C548:D548"/>
    <mergeCell ref="J548:K548"/>
    <mergeCell ref="B566:C566"/>
    <mergeCell ref="D565:E565"/>
    <mergeCell ref="D566:E566"/>
    <mergeCell ref="I566:J566"/>
    <mergeCell ref="K565:L565"/>
    <mergeCell ref="K566:L566"/>
    <mergeCell ref="C578:D578"/>
    <mergeCell ref="J578:K578"/>
    <mergeCell ref="B596:C596"/>
    <mergeCell ref="D595:E595"/>
    <mergeCell ref="D596:E596"/>
    <mergeCell ref="I596:J596"/>
    <mergeCell ref="K595:L595"/>
    <mergeCell ref="K596:L596"/>
    <mergeCell ref="C608:D608"/>
    <mergeCell ref="J608:K608"/>
    <mergeCell ref="B626:C626"/>
    <mergeCell ref="D625:E625"/>
    <mergeCell ref="D626:E626"/>
    <mergeCell ref="I626:J626"/>
    <mergeCell ref="K625:L625"/>
    <mergeCell ref="K626:L626"/>
    <mergeCell ref="C638:D638"/>
    <mergeCell ref="J638:K638"/>
    <mergeCell ref="B656:C656"/>
    <mergeCell ref="D655:E655"/>
    <mergeCell ref="D656:E656"/>
    <mergeCell ref="I656:J656"/>
    <mergeCell ref="K655:L655"/>
    <mergeCell ref="K656:L656"/>
    <mergeCell ref="C668:D668"/>
    <mergeCell ref="J668:K668"/>
    <mergeCell ref="B686:C686"/>
    <mergeCell ref="D685:E685"/>
    <mergeCell ref="D686:E686"/>
    <mergeCell ref="I686:J686"/>
    <mergeCell ref="K685:L685"/>
    <mergeCell ref="K686:L686"/>
    <mergeCell ref="C698:D698"/>
    <mergeCell ref="J698:K698"/>
    <mergeCell ref="B716:C716"/>
    <mergeCell ref="D715:E715"/>
    <mergeCell ref="D716:E716"/>
    <mergeCell ref="I716:J716"/>
    <mergeCell ref="K715:L715"/>
    <mergeCell ref="K716:L716"/>
    <mergeCell ref="C728:D728"/>
    <mergeCell ref="J728:K728"/>
    <mergeCell ref="B746:C746"/>
    <mergeCell ref="D745:E745"/>
    <mergeCell ref="D746:E746"/>
    <mergeCell ref="I746:J746"/>
    <mergeCell ref="K745:L745"/>
    <mergeCell ref="K746:L746"/>
    <mergeCell ref="C758:D758"/>
    <mergeCell ref="J758:K758"/>
    <mergeCell ref="B776:C776"/>
    <mergeCell ref="D775:E775"/>
    <mergeCell ref="D776:E776"/>
    <mergeCell ref="I776:J776"/>
    <mergeCell ref="K775:L775"/>
    <mergeCell ref="K776:L776"/>
    <mergeCell ref="C788:D788"/>
    <mergeCell ref="J788:K788"/>
    <mergeCell ref="B806:C806"/>
    <mergeCell ref="D805:E805"/>
    <mergeCell ref="D806:E806"/>
    <mergeCell ref="I806:J806"/>
    <mergeCell ref="K805:L805"/>
    <mergeCell ref="K806:L806"/>
    <mergeCell ref="C818:D818"/>
    <mergeCell ref="J818:K818"/>
    <mergeCell ref="B836:C836"/>
    <mergeCell ref="D835:E835"/>
    <mergeCell ref="D836:E836"/>
    <mergeCell ref="I836:J836"/>
    <mergeCell ref="K835:L835"/>
    <mergeCell ref="K836:L836"/>
    <mergeCell ref="C848:D848"/>
    <mergeCell ref="J848:K848"/>
    <mergeCell ref="B866:C866"/>
    <mergeCell ref="D865:E865"/>
    <mergeCell ref="D866:E866"/>
    <mergeCell ref="I866:J866"/>
    <mergeCell ref="K865:L865"/>
    <mergeCell ref="K866:L866"/>
    <mergeCell ref="C878:D878"/>
    <mergeCell ref="J878:K878"/>
    <mergeCell ref="B896:C896"/>
    <mergeCell ref="D895:E895"/>
    <mergeCell ref="D896:E896"/>
    <mergeCell ref="I896:J896"/>
    <mergeCell ref="K895:L895"/>
    <mergeCell ref="K896:L896"/>
    <mergeCell ref="C908:D908"/>
    <mergeCell ref="J908:K908"/>
    <mergeCell ref="B926:C926"/>
    <mergeCell ref="D925:E925"/>
    <mergeCell ref="D926:E926"/>
    <mergeCell ref="I926:J926"/>
    <mergeCell ref="K925:L925"/>
    <mergeCell ref="K926:L926"/>
    <mergeCell ref="C938:D938"/>
    <mergeCell ref="J938:K938"/>
    <mergeCell ref="B956:C956"/>
    <mergeCell ref="D955:E955"/>
    <mergeCell ref="D956:E956"/>
    <mergeCell ref="I956:J956"/>
    <mergeCell ref="K955:L955"/>
    <mergeCell ref="K956:L956"/>
    <mergeCell ref="C968:D968"/>
    <mergeCell ref="J968:K968"/>
    <mergeCell ref="B986:C986"/>
    <mergeCell ref="D985:E985"/>
    <mergeCell ref="D986:E986"/>
    <mergeCell ref="I986:J986"/>
    <mergeCell ref="K985:L985"/>
    <mergeCell ref="K986:L986"/>
    <mergeCell ref="C998:D998"/>
    <mergeCell ref="J998:K998"/>
    <mergeCell ref="B1016:C1016"/>
    <mergeCell ref="D1015:E1015"/>
    <mergeCell ref="D1016:E1016"/>
    <mergeCell ref="I1016:J1016"/>
    <mergeCell ref="K1015:L1015"/>
    <mergeCell ref="K1016:L1016"/>
    <mergeCell ref="C1028:D1028"/>
    <mergeCell ref="J1028:K1028"/>
    <mergeCell ref="B1046:C1046"/>
    <mergeCell ref="D1045:E1045"/>
    <mergeCell ref="D1046:E1046"/>
    <mergeCell ref="I1046:J1046"/>
    <mergeCell ref="K1045:L1045"/>
    <mergeCell ref="K1046:L1046"/>
    <mergeCell ref="C1058:D1058"/>
    <mergeCell ref="J1058:K1058"/>
    <mergeCell ref="B1076:C1076"/>
    <mergeCell ref="D1075:E1075"/>
    <mergeCell ref="D1076:E1076"/>
    <mergeCell ref="I1076:J1076"/>
    <mergeCell ref="K1075:L1075"/>
    <mergeCell ref="K1076:L1076"/>
    <mergeCell ref="C1088:D1088"/>
    <mergeCell ref="J1088:K1088"/>
    <mergeCell ref="B1106:C1106"/>
    <mergeCell ref="D1105:E1105"/>
    <mergeCell ref="D1106:E1106"/>
    <mergeCell ref="I1106:J1106"/>
    <mergeCell ref="K1105:L1105"/>
    <mergeCell ref="K1106:L1106"/>
    <mergeCell ref="C1118:D1118"/>
    <mergeCell ref="J1118:K1118"/>
    <mergeCell ref="B1136:C1136"/>
    <mergeCell ref="D1135:E1135"/>
    <mergeCell ref="D1136:E1136"/>
    <mergeCell ref="I1136:J1136"/>
    <mergeCell ref="K1135:L1135"/>
    <mergeCell ref="K1136:L1136"/>
    <mergeCell ref="C1148:D1148"/>
    <mergeCell ref="J1148:K1148"/>
    <mergeCell ref="B1166:C1166"/>
    <mergeCell ref="D1165:E1165"/>
    <mergeCell ref="D1166:E1166"/>
    <mergeCell ref="I1166:J1166"/>
    <mergeCell ref="K1165:L1165"/>
    <mergeCell ref="K1166:L1166"/>
    <mergeCell ref="C1178:D1178"/>
    <mergeCell ref="J1178:K1178"/>
    <mergeCell ref="B1196:C1196"/>
    <mergeCell ref="D1195:E1195"/>
    <mergeCell ref="D1196:E1196"/>
    <mergeCell ref="I1196:J1196"/>
    <mergeCell ref="K1195:L1195"/>
    <mergeCell ref="K1196:L1196"/>
    <mergeCell ref="C1208:D1208"/>
    <mergeCell ref="J1208:K1208"/>
    <mergeCell ref="B1226:C1226"/>
    <mergeCell ref="D1225:E1225"/>
    <mergeCell ref="D1226:E1226"/>
    <mergeCell ref="I1226:J1226"/>
    <mergeCell ref="K1225:L1225"/>
    <mergeCell ref="K1226:L1226"/>
    <mergeCell ref="C1238:D1238"/>
    <mergeCell ref="J1238:K1238"/>
    <mergeCell ref="B1256:C1256"/>
    <mergeCell ref="D1255:E1255"/>
    <mergeCell ref="D1256:E1256"/>
    <mergeCell ref="I1256:J1256"/>
    <mergeCell ref="K1255:L1255"/>
    <mergeCell ref="K1256:L1256"/>
    <mergeCell ref="C1268:D1268"/>
    <mergeCell ref="J1268:K1268"/>
    <mergeCell ref="B1286:C1286"/>
    <mergeCell ref="D1285:E1285"/>
    <mergeCell ref="D1286:E1286"/>
    <mergeCell ref="I1286:J1286"/>
    <mergeCell ref="K1285:L1285"/>
    <mergeCell ref="K1286:L1286"/>
    <mergeCell ref="C1298:D1298"/>
    <mergeCell ref="J1298:K1298"/>
    <mergeCell ref="B1316:C1316"/>
    <mergeCell ref="D1315:E1315"/>
    <mergeCell ref="D1316:E1316"/>
    <mergeCell ref="I1316:J1316"/>
    <mergeCell ref="K1315:L1315"/>
    <mergeCell ref="K1316:L1316"/>
    <mergeCell ref="C1328:D1328"/>
    <mergeCell ref="J1328:K1328"/>
    <mergeCell ref="B1346:C1346"/>
    <mergeCell ref="D1345:E1345"/>
    <mergeCell ref="D1346:E1346"/>
    <mergeCell ref="I1346:J1346"/>
    <mergeCell ref="K1345:L1345"/>
    <mergeCell ref="K1346:L1346"/>
    <mergeCell ref="C1358:D1358"/>
    <mergeCell ref="J1358:K1358"/>
    <mergeCell ref="B1376:C1376"/>
    <mergeCell ref="D1375:E1375"/>
    <mergeCell ref="D1376:E1376"/>
    <mergeCell ref="I1376:J1376"/>
    <mergeCell ref="K1375:L1375"/>
    <mergeCell ref="K1376:L1376"/>
    <mergeCell ref="C1388:D1388"/>
    <mergeCell ref="J1388:K1388"/>
    <mergeCell ref="B1406:C1406"/>
    <mergeCell ref="D1405:E1405"/>
    <mergeCell ref="D1406:E1406"/>
    <mergeCell ref="I1406:J1406"/>
    <mergeCell ref="K1405:L1405"/>
    <mergeCell ref="K1406:L1406"/>
    <mergeCell ref="C1418:D1418"/>
    <mergeCell ref="J1418:K1418"/>
    <mergeCell ref="B1436:C1436"/>
    <mergeCell ref="D1435:E1435"/>
    <mergeCell ref="D1436:E1436"/>
    <mergeCell ref="I1436:J1436"/>
    <mergeCell ref="K1435:L1435"/>
    <mergeCell ref="K1436:L1436"/>
    <mergeCell ref="C1448:D1448"/>
    <mergeCell ref="J1448:K1448"/>
    <mergeCell ref="B1466:C1466"/>
    <mergeCell ref="D1465:E1465"/>
    <mergeCell ref="D1466:E1466"/>
    <mergeCell ref="I1466:J1466"/>
    <mergeCell ref="K1465:L1465"/>
    <mergeCell ref="K1466:L1466"/>
    <mergeCell ref="C1478:D1478"/>
    <mergeCell ref="J1478:K1478"/>
    <mergeCell ref="B1496:C1496"/>
    <mergeCell ref="D1495:E1495"/>
    <mergeCell ref="D1496:E1496"/>
    <mergeCell ref="I1496:J1496"/>
    <mergeCell ref="K1495:L1495"/>
    <mergeCell ref="K1496:L1496"/>
    <mergeCell ref="C8:D8"/>
    <mergeCell ref="J8:K8"/>
    <mergeCell ref="B26:C26"/>
    <mergeCell ref="D25:E25"/>
    <mergeCell ref="D26:E26"/>
    <mergeCell ref="I26:J26"/>
    <mergeCell ref="K25:L25"/>
    <mergeCell ref="K26:L26"/>
    <mergeCell ref="C38:D38"/>
    <mergeCell ref="J38:K38"/>
    <mergeCell ref="B56:C56"/>
    <mergeCell ref="D55:E55"/>
    <mergeCell ref="D56:E56"/>
    <mergeCell ref="I56:J56"/>
    <mergeCell ref="K55:L55"/>
    <mergeCell ref="K56:L56"/>
    <mergeCell ref="C68:D68"/>
    <mergeCell ref="J68:K68"/>
    <mergeCell ref="B86:C86"/>
    <mergeCell ref="D85:E85"/>
    <mergeCell ref="D86:E86"/>
    <mergeCell ref="I86:J86"/>
    <mergeCell ref="K85:L85"/>
    <mergeCell ref="K86:L86"/>
    <mergeCell ref="C98:D98"/>
    <mergeCell ref="J98:K98"/>
    <mergeCell ref="B116:C116"/>
    <mergeCell ref="D115:E115"/>
    <mergeCell ref="D116:E116"/>
    <mergeCell ref="I116:J116"/>
    <mergeCell ref="K115:L115"/>
    <mergeCell ref="K116:L116"/>
    <mergeCell ref="C128:D128"/>
    <mergeCell ref="J128:K128"/>
    <mergeCell ref="B146:C146"/>
    <mergeCell ref="D145:E145"/>
    <mergeCell ref="D146:E146"/>
    <mergeCell ref="I146:J146"/>
    <mergeCell ref="K145:L145"/>
    <mergeCell ref="K146:L146"/>
    <mergeCell ref="C158:D158"/>
    <mergeCell ref="J158:K158"/>
    <mergeCell ref="B176:C176"/>
    <mergeCell ref="D175:E175"/>
    <mergeCell ref="D176:E176"/>
    <mergeCell ref="I176:J176"/>
    <mergeCell ref="K175:L175"/>
    <mergeCell ref="K176:L176"/>
    <mergeCell ref="C188:D188"/>
    <mergeCell ref="J188:K188"/>
    <mergeCell ref="B206:C206"/>
    <mergeCell ref="D205:E205"/>
    <mergeCell ref="D206:E206"/>
    <mergeCell ref="I206:J206"/>
    <mergeCell ref="K205:L205"/>
    <mergeCell ref="K206:L206"/>
    <mergeCell ref="C218:D218"/>
    <mergeCell ref="J218:K218"/>
    <mergeCell ref="B236:C236"/>
    <mergeCell ref="D235:E235"/>
    <mergeCell ref="D236:E236"/>
    <mergeCell ref="I236:J236"/>
    <mergeCell ref="K235:L235"/>
    <mergeCell ref="K236:L236"/>
    <mergeCell ref="C248:D248"/>
    <mergeCell ref="J248:K248"/>
    <mergeCell ref="B266:C266"/>
    <mergeCell ref="D265:E265"/>
    <mergeCell ref="D266:E266"/>
    <mergeCell ref="I266:J266"/>
    <mergeCell ref="K265:L265"/>
    <mergeCell ref="K266:L266"/>
    <mergeCell ref="C278:D278"/>
    <mergeCell ref="J278:K278"/>
    <mergeCell ref="B296:C296"/>
    <mergeCell ref="D295:E295"/>
    <mergeCell ref="D296:E296"/>
    <mergeCell ref="I296:J296"/>
    <mergeCell ref="K295:L295"/>
    <mergeCell ref="K296:L296"/>
    <mergeCell ref="C308:D308"/>
    <mergeCell ref="J308:K308"/>
    <mergeCell ref="B326:C326"/>
    <mergeCell ref="D325:E325"/>
    <mergeCell ref="D326:E326"/>
    <mergeCell ref="I326:J326"/>
    <mergeCell ref="K325:L325"/>
    <mergeCell ref="K326:L326"/>
    <mergeCell ref="C338:D338"/>
    <mergeCell ref="J338:K338"/>
    <mergeCell ref="B356:C356"/>
    <mergeCell ref="D355:E355"/>
    <mergeCell ref="D356:E356"/>
    <mergeCell ref="I356:J356"/>
    <mergeCell ref="K355:L355"/>
    <mergeCell ref="K356:L356"/>
    <mergeCell ref="C368:D368"/>
    <mergeCell ref="J368:K368"/>
    <mergeCell ref="B386:C386"/>
    <mergeCell ref="D385:E385"/>
    <mergeCell ref="D386:E386"/>
    <mergeCell ref="I386:J386"/>
    <mergeCell ref="K385:L385"/>
    <mergeCell ref="K386:L386"/>
    <mergeCell ref="C398:D398"/>
    <mergeCell ref="J398:K398"/>
    <mergeCell ref="B416:C416"/>
    <mergeCell ref="D415:E415"/>
    <mergeCell ref="D416:E416"/>
    <mergeCell ref="I416:J416"/>
    <mergeCell ref="K415:L415"/>
    <mergeCell ref="K416:L416"/>
    <mergeCell ref="C428:D428"/>
    <mergeCell ref="J428:K428"/>
    <mergeCell ref="B446:C446"/>
    <mergeCell ref="D445:E445"/>
    <mergeCell ref="D446:E446"/>
    <mergeCell ref="I446:J446"/>
    <mergeCell ref="K445:L445"/>
    <mergeCell ref="K446:L446"/>
    <mergeCell ref="C458:D458"/>
    <mergeCell ref="J458:K458"/>
    <mergeCell ref="B476:C476"/>
    <mergeCell ref="D475:E475"/>
    <mergeCell ref="D476:E476"/>
    <mergeCell ref="I476:J476"/>
    <mergeCell ref="K475:L475"/>
    <mergeCell ref="K476:L476"/>
    <mergeCell ref="C488:D488"/>
    <mergeCell ref="J488:K488"/>
    <mergeCell ref="B506:C506"/>
    <mergeCell ref="D505:E505"/>
    <mergeCell ref="D506:E506"/>
    <mergeCell ref="I506:J506"/>
    <mergeCell ref="K505:L505"/>
    <mergeCell ref="K506:L506"/>
    <mergeCell ref="C518:D518"/>
    <mergeCell ref="J518:K518"/>
    <mergeCell ref="B536:C536"/>
    <mergeCell ref="D535:E535"/>
    <mergeCell ref="D536:E536"/>
    <mergeCell ref="I536:J536"/>
    <mergeCell ref="K535:L535"/>
    <mergeCell ref="K536:L536"/>
    <mergeCell ref="C548:D548"/>
    <mergeCell ref="J548:K548"/>
    <mergeCell ref="B566:C566"/>
    <mergeCell ref="D565:E565"/>
    <mergeCell ref="D566:E566"/>
    <mergeCell ref="I566:J566"/>
    <mergeCell ref="K565:L565"/>
    <mergeCell ref="K566:L566"/>
    <mergeCell ref="C578:D578"/>
    <mergeCell ref="J578:K578"/>
    <mergeCell ref="B596:C596"/>
    <mergeCell ref="D595:E595"/>
    <mergeCell ref="D596:E596"/>
    <mergeCell ref="I596:J596"/>
    <mergeCell ref="K595:L595"/>
    <mergeCell ref="K596:L596"/>
    <mergeCell ref="C608:D608"/>
    <mergeCell ref="J608:K608"/>
    <mergeCell ref="B626:C626"/>
    <mergeCell ref="D625:E625"/>
    <mergeCell ref="D626:E626"/>
    <mergeCell ref="I626:J626"/>
    <mergeCell ref="K625:L625"/>
    <mergeCell ref="K626:L626"/>
    <mergeCell ref="C638:D638"/>
    <mergeCell ref="J638:K638"/>
    <mergeCell ref="B656:C656"/>
    <mergeCell ref="D655:E655"/>
    <mergeCell ref="D656:E656"/>
    <mergeCell ref="I656:J656"/>
    <mergeCell ref="K655:L655"/>
    <mergeCell ref="K656:L656"/>
    <mergeCell ref="C668:D668"/>
    <mergeCell ref="J668:K668"/>
    <mergeCell ref="B686:C686"/>
    <mergeCell ref="D685:E685"/>
    <mergeCell ref="D686:E686"/>
    <mergeCell ref="I686:J686"/>
    <mergeCell ref="K685:L685"/>
    <mergeCell ref="K686:L686"/>
    <mergeCell ref="C698:D698"/>
    <mergeCell ref="J698:K698"/>
    <mergeCell ref="B716:C716"/>
    <mergeCell ref="D715:E715"/>
    <mergeCell ref="D716:E716"/>
    <mergeCell ref="I716:J716"/>
    <mergeCell ref="K715:L715"/>
    <mergeCell ref="K716:L716"/>
    <mergeCell ref="C728:D728"/>
    <mergeCell ref="J728:K728"/>
    <mergeCell ref="B746:C746"/>
    <mergeCell ref="D745:E745"/>
    <mergeCell ref="D746:E746"/>
    <mergeCell ref="I746:J746"/>
    <mergeCell ref="K745:L745"/>
    <mergeCell ref="K746:L746"/>
    <mergeCell ref="C758:D758"/>
    <mergeCell ref="J758:K758"/>
    <mergeCell ref="B776:C776"/>
    <mergeCell ref="D775:E775"/>
    <mergeCell ref="D776:E776"/>
    <mergeCell ref="I776:J776"/>
    <mergeCell ref="K775:L775"/>
    <mergeCell ref="K776:L776"/>
    <mergeCell ref="C788:D788"/>
    <mergeCell ref="J788:K788"/>
    <mergeCell ref="B806:C806"/>
    <mergeCell ref="D805:E805"/>
    <mergeCell ref="D806:E806"/>
    <mergeCell ref="I806:J806"/>
    <mergeCell ref="K805:L805"/>
    <mergeCell ref="K806:L806"/>
    <mergeCell ref="C818:D818"/>
    <mergeCell ref="J818:K818"/>
    <mergeCell ref="B836:C836"/>
    <mergeCell ref="D835:E835"/>
    <mergeCell ref="D836:E836"/>
    <mergeCell ref="I836:J836"/>
    <mergeCell ref="K835:L835"/>
    <mergeCell ref="K836:L836"/>
    <mergeCell ref="C848:D848"/>
    <mergeCell ref="J848:K848"/>
    <mergeCell ref="B866:C866"/>
    <mergeCell ref="D865:E865"/>
    <mergeCell ref="D866:E866"/>
    <mergeCell ref="I866:J866"/>
    <mergeCell ref="K865:L865"/>
    <mergeCell ref="K866:L866"/>
    <mergeCell ref="C878:D878"/>
    <mergeCell ref="J878:K878"/>
    <mergeCell ref="B896:C896"/>
    <mergeCell ref="D895:E895"/>
    <mergeCell ref="D896:E896"/>
    <mergeCell ref="I896:J896"/>
    <mergeCell ref="K895:L895"/>
    <mergeCell ref="K896:L896"/>
    <mergeCell ref="C908:D908"/>
    <mergeCell ref="J908:K908"/>
    <mergeCell ref="B926:C926"/>
    <mergeCell ref="D925:E925"/>
    <mergeCell ref="D926:E926"/>
    <mergeCell ref="I926:J926"/>
    <mergeCell ref="K925:L925"/>
    <mergeCell ref="K926:L926"/>
    <mergeCell ref="C938:D938"/>
    <mergeCell ref="J938:K938"/>
    <mergeCell ref="B956:C956"/>
    <mergeCell ref="D955:E955"/>
    <mergeCell ref="D956:E956"/>
    <mergeCell ref="I956:J956"/>
    <mergeCell ref="K955:L955"/>
    <mergeCell ref="K956:L956"/>
    <mergeCell ref="C968:D968"/>
    <mergeCell ref="J968:K968"/>
    <mergeCell ref="B986:C986"/>
    <mergeCell ref="D985:E985"/>
    <mergeCell ref="D986:E986"/>
    <mergeCell ref="I986:J986"/>
    <mergeCell ref="K985:L985"/>
    <mergeCell ref="K986:L986"/>
    <mergeCell ref="C998:D998"/>
    <mergeCell ref="J998:K998"/>
    <mergeCell ref="B1016:C1016"/>
    <mergeCell ref="D1015:E1015"/>
    <mergeCell ref="D1016:E1016"/>
    <mergeCell ref="I1016:J1016"/>
    <mergeCell ref="K1015:L1015"/>
    <mergeCell ref="K1016:L1016"/>
    <mergeCell ref="C1028:D1028"/>
    <mergeCell ref="J1028:K1028"/>
    <mergeCell ref="B1046:C1046"/>
    <mergeCell ref="D1045:E1045"/>
    <mergeCell ref="D1046:E1046"/>
    <mergeCell ref="I1046:J1046"/>
    <mergeCell ref="K1045:L1045"/>
    <mergeCell ref="K1046:L1046"/>
    <mergeCell ref="C1058:D1058"/>
    <mergeCell ref="J1058:K1058"/>
    <mergeCell ref="B1076:C1076"/>
    <mergeCell ref="D1075:E1075"/>
    <mergeCell ref="D1076:E1076"/>
    <mergeCell ref="I1076:J1076"/>
    <mergeCell ref="K1075:L1075"/>
    <mergeCell ref="K1076:L1076"/>
    <mergeCell ref="C1088:D1088"/>
    <mergeCell ref="J1088:K1088"/>
    <mergeCell ref="B1106:C1106"/>
    <mergeCell ref="D1105:E1105"/>
    <mergeCell ref="D1106:E1106"/>
    <mergeCell ref="I1106:J1106"/>
    <mergeCell ref="K1105:L1105"/>
    <mergeCell ref="K1106:L1106"/>
    <mergeCell ref="C1118:D1118"/>
    <mergeCell ref="J1118:K1118"/>
    <mergeCell ref="B1136:C1136"/>
    <mergeCell ref="D1135:E1135"/>
    <mergeCell ref="D1136:E1136"/>
    <mergeCell ref="I1136:J1136"/>
    <mergeCell ref="K1135:L1135"/>
    <mergeCell ref="K1136:L1136"/>
    <mergeCell ref="C1148:D1148"/>
    <mergeCell ref="J1148:K1148"/>
    <mergeCell ref="B1166:C1166"/>
    <mergeCell ref="D1165:E1165"/>
    <mergeCell ref="D1166:E1166"/>
    <mergeCell ref="I1166:J1166"/>
    <mergeCell ref="K1165:L1165"/>
    <mergeCell ref="K1166:L1166"/>
    <mergeCell ref="C1178:D1178"/>
    <mergeCell ref="J1178:K1178"/>
    <mergeCell ref="B1196:C1196"/>
    <mergeCell ref="D1195:E1195"/>
    <mergeCell ref="D1196:E1196"/>
    <mergeCell ref="I1196:J1196"/>
    <mergeCell ref="K1195:L1195"/>
    <mergeCell ref="K1196:L1196"/>
    <mergeCell ref="C1208:D1208"/>
    <mergeCell ref="J1208:K1208"/>
    <mergeCell ref="B1226:C1226"/>
    <mergeCell ref="D1225:E1225"/>
    <mergeCell ref="D1226:E1226"/>
    <mergeCell ref="I1226:J1226"/>
    <mergeCell ref="K1225:L1225"/>
    <mergeCell ref="K1226:L1226"/>
    <mergeCell ref="C1238:D1238"/>
    <mergeCell ref="J1238:K1238"/>
    <mergeCell ref="B1256:C1256"/>
    <mergeCell ref="D1255:E1255"/>
    <mergeCell ref="D1256:E1256"/>
    <mergeCell ref="I1256:J1256"/>
    <mergeCell ref="K1255:L1255"/>
    <mergeCell ref="K1256:L1256"/>
    <mergeCell ref="C1268:D1268"/>
    <mergeCell ref="J1268:K1268"/>
    <mergeCell ref="B1286:C1286"/>
    <mergeCell ref="D1285:E1285"/>
    <mergeCell ref="D1286:E1286"/>
    <mergeCell ref="I1286:J1286"/>
    <mergeCell ref="K1285:L1285"/>
    <mergeCell ref="K1286:L1286"/>
    <mergeCell ref="C1298:D1298"/>
    <mergeCell ref="J1298:K1298"/>
    <mergeCell ref="B1316:C1316"/>
    <mergeCell ref="D1315:E1315"/>
    <mergeCell ref="D1316:E1316"/>
    <mergeCell ref="I1316:J1316"/>
    <mergeCell ref="K1315:L1315"/>
    <mergeCell ref="K1316:L1316"/>
    <mergeCell ref="C1328:D1328"/>
    <mergeCell ref="J1328:K1328"/>
    <mergeCell ref="B1346:C1346"/>
    <mergeCell ref="D1345:E1345"/>
    <mergeCell ref="D1346:E1346"/>
    <mergeCell ref="I1346:J1346"/>
    <mergeCell ref="K1345:L1345"/>
    <mergeCell ref="K1346:L1346"/>
    <mergeCell ref="C1358:D1358"/>
    <mergeCell ref="J1358:K1358"/>
    <mergeCell ref="B1376:C1376"/>
    <mergeCell ref="D1375:E1375"/>
    <mergeCell ref="D1376:E1376"/>
    <mergeCell ref="I1376:J1376"/>
    <mergeCell ref="K1375:L1375"/>
    <mergeCell ref="K1376:L1376"/>
    <mergeCell ref="C1388:D1388"/>
    <mergeCell ref="J1388:K1388"/>
    <mergeCell ref="B1406:C1406"/>
    <mergeCell ref="D1405:E1405"/>
    <mergeCell ref="D1406:E1406"/>
    <mergeCell ref="I1406:J1406"/>
    <mergeCell ref="K1405:L1405"/>
    <mergeCell ref="K1406:L1406"/>
    <mergeCell ref="C1418:D1418"/>
    <mergeCell ref="J1418:K1418"/>
    <mergeCell ref="B1436:C1436"/>
    <mergeCell ref="D1435:E1435"/>
    <mergeCell ref="D1436:E1436"/>
    <mergeCell ref="I1436:J1436"/>
    <mergeCell ref="K1435:L1435"/>
    <mergeCell ref="K1436:L1436"/>
    <mergeCell ref="C1448:D1448"/>
    <mergeCell ref="J1448:K1448"/>
    <mergeCell ref="B1466:C1466"/>
    <mergeCell ref="D1465:E1465"/>
    <mergeCell ref="D1466:E1466"/>
    <mergeCell ref="I1466:J1466"/>
    <mergeCell ref="K1465:L1465"/>
    <mergeCell ref="K1466:L1466"/>
    <mergeCell ref="C1478:D1478"/>
    <mergeCell ref="J1478:K1478"/>
    <mergeCell ref="B1496:C1496"/>
    <mergeCell ref="D1495:E1495"/>
    <mergeCell ref="D1496:E1496"/>
    <mergeCell ref="I1496:J1496"/>
    <mergeCell ref="K1495:L1495"/>
    <mergeCell ref="K1496:L1496"/>
    <mergeCell ref="C8:D8"/>
    <mergeCell ref="J8:K8"/>
    <mergeCell ref="B26:C26"/>
    <mergeCell ref="D25:E25"/>
    <mergeCell ref="D26:E26"/>
    <mergeCell ref="I26:J26"/>
    <mergeCell ref="K25:L25"/>
    <mergeCell ref="K26:L26"/>
    <mergeCell ref="C38:D38"/>
    <mergeCell ref="J38:K38"/>
    <mergeCell ref="B56:C56"/>
    <mergeCell ref="D55:E55"/>
    <mergeCell ref="D56:E56"/>
    <mergeCell ref="I56:J56"/>
    <mergeCell ref="K55:L55"/>
    <mergeCell ref="K56:L56"/>
    <mergeCell ref="C68:D68"/>
    <mergeCell ref="J68:K68"/>
    <mergeCell ref="B86:C86"/>
    <mergeCell ref="D85:E85"/>
    <mergeCell ref="D86:E86"/>
    <mergeCell ref="I86:J86"/>
    <mergeCell ref="K85:L85"/>
    <mergeCell ref="K86:L86"/>
    <mergeCell ref="C98:D98"/>
    <mergeCell ref="J98:K98"/>
    <mergeCell ref="B116:C116"/>
    <mergeCell ref="D115:E115"/>
    <mergeCell ref="D116:E116"/>
    <mergeCell ref="I116:J116"/>
    <mergeCell ref="K115:L115"/>
    <mergeCell ref="K116:L116"/>
    <mergeCell ref="C128:D128"/>
    <mergeCell ref="J128:K128"/>
    <mergeCell ref="B146:C146"/>
    <mergeCell ref="D145:E145"/>
    <mergeCell ref="D146:E146"/>
    <mergeCell ref="I146:J146"/>
    <mergeCell ref="K145:L145"/>
    <mergeCell ref="K146:L146"/>
    <mergeCell ref="C158:D158"/>
    <mergeCell ref="J158:K158"/>
    <mergeCell ref="B176:C176"/>
    <mergeCell ref="D175:E175"/>
    <mergeCell ref="D176:E176"/>
    <mergeCell ref="I176:J176"/>
    <mergeCell ref="K175:L175"/>
    <mergeCell ref="K176:L176"/>
    <mergeCell ref="C188:D188"/>
    <mergeCell ref="J188:K188"/>
    <mergeCell ref="B206:C206"/>
    <mergeCell ref="D205:E205"/>
    <mergeCell ref="D206:E206"/>
    <mergeCell ref="I206:J206"/>
    <mergeCell ref="K205:L205"/>
    <mergeCell ref="K206:L206"/>
    <mergeCell ref="C218:D218"/>
    <mergeCell ref="J218:K218"/>
    <mergeCell ref="B236:C236"/>
    <mergeCell ref="D235:E235"/>
    <mergeCell ref="D236:E236"/>
    <mergeCell ref="I236:J236"/>
    <mergeCell ref="K235:L235"/>
    <mergeCell ref="K236:L236"/>
    <mergeCell ref="C248:D248"/>
    <mergeCell ref="J248:K248"/>
    <mergeCell ref="B266:C266"/>
    <mergeCell ref="D265:E265"/>
    <mergeCell ref="D266:E266"/>
    <mergeCell ref="I266:J266"/>
    <mergeCell ref="K265:L265"/>
    <mergeCell ref="K266:L266"/>
    <mergeCell ref="C278:D278"/>
    <mergeCell ref="J278:K278"/>
    <mergeCell ref="B296:C296"/>
    <mergeCell ref="D295:E295"/>
    <mergeCell ref="D296:E296"/>
    <mergeCell ref="I296:J296"/>
    <mergeCell ref="K295:L295"/>
    <mergeCell ref="K296:L296"/>
    <mergeCell ref="C308:D308"/>
    <mergeCell ref="J308:K308"/>
    <mergeCell ref="B326:C326"/>
    <mergeCell ref="D325:E325"/>
    <mergeCell ref="D326:E326"/>
    <mergeCell ref="I326:J326"/>
    <mergeCell ref="K325:L325"/>
    <mergeCell ref="K326:L326"/>
    <mergeCell ref="C338:D338"/>
    <mergeCell ref="J338:K338"/>
    <mergeCell ref="B356:C356"/>
    <mergeCell ref="D355:E355"/>
    <mergeCell ref="D356:E356"/>
    <mergeCell ref="I356:J356"/>
    <mergeCell ref="K355:L355"/>
    <mergeCell ref="K356:L356"/>
    <mergeCell ref="C368:D368"/>
    <mergeCell ref="J368:K368"/>
    <mergeCell ref="B386:C386"/>
    <mergeCell ref="D385:E385"/>
    <mergeCell ref="D386:E386"/>
    <mergeCell ref="I386:J386"/>
    <mergeCell ref="K385:L385"/>
    <mergeCell ref="K386:L386"/>
    <mergeCell ref="C398:D398"/>
    <mergeCell ref="J398:K398"/>
    <mergeCell ref="B416:C416"/>
    <mergeCell ref="D415:E415"/>
    <mergeCell ref="D416:E416"/>
    <mergeCell ref="I416:J416"/>
    <mergeCell ref="K415:L415"/>
    <mergeCell ref="K416:L416"/>
    <mergeCell ref="C428:D428"/>
    <mergeCell ref="J428:K428"/>
    <mergeCell ref="B446:C446"/>
    <mergeCell ref="D445:E445"/>
    <mergeCell ref="D446:E446"/>
    <mergeCell ref="I446:J446"/>
    <mergeCell ref="K445:L445"/>
    <mergeCell ref="K446:L446"/>
    <mergeCell ref="C458:D458"/>
    <mergeCell ref="J458:K458"/>
    <mergeCell ref="B476:C476"/>
    <mergeCell ref="D475:E475"/>
    <mergeCell ref="D476:E476"/>
    <mergeCell ref="I476:J476"/>
    <mergeCell ref="K475:L475"/>
    <mergeCell ref="K476:L476"/>
    <mergeCell ref="C488:D488"/>
    <mergeCell ref="J488:K488"/>
    <mergeCell ref="B506:C506"/>
    <mergeCell ref="D505:E505"/>
    <mergeCell ref="D506:E506"/>
    <mergeCell ref="I506:J506"/>
    <mergeCell ref="K505:L505"/>
    <mergeCell ref="K506:L506"/>
    <mergeCell ref="C518:D518"/>
    <mergeCell ref="J518:K518"/>
    <mergeCell ref="B536:C536"/>
    <mergeCell ref="D535:E535"/>
    <mergeCell ref="D536:E536"/>
    <mergeCell ref="I536:J536"/>
    <mergeCell ref="K535:L535"/>
    <mergeCell ref="K536:L536"/>
    <mergeCell ref="C548:D548"/>
    <mergeCell ref="J548:K548"/>
    <mergeCell ref="B566:C566"/>
    <mergeCell ref="D565:E565"/>
    <mergeCell ref="D566:E566"/>
    <mergeCell ref="I566:J566"/>
    <mergeCell ref="K565:L565"/>
    <mergeCell ref="K566:L566"/>
    <mergeCell ref="C578:D578"/>
    <mergeCell ref="J578:K578"/>
    <mergeCell ref="B596:C596"/>
    <mergeCell ref="D595:E595"/>
    <mergeCell ref="D596:E596"/>
    <mergeCell ref="I596:J596"/>
    <mergeCell ref="K595:L595"/>
    <mergeCell ref="K596:L596"/>
    <mergeCell ref="C608:D608"/>
    <mergeCell ref="J608:K608"/>
    <mergeCell ref="B626:C626"/>
    <mergeCell ref="D625:E625"/>
    <mergeCell ref="D626:E626"/>
    <mergeCell ref="I626:J626"/>
    <mergeCell ref="K625:L625"/>
    <mergeCell ref="K626:L626"/>
    <mergeCell ref="C638:D638"/>
    <mergeCell ref="J638:K638"/>
    <mergeCell ref="B656:C656"/>
    <mergeCell ref="D655:E655"/>
    <mergeCell ref="D656:E656"/>
    <mergeCell ref="I656:J656"/>
    <mergeCell ref="K655:L655"/>
    <mergeCell ref="K656:L656"/>
    <mergeCell ref="C668:D668"/>
    <mergeCell ref="J668:K668"/>
    <mergeCell ref="B686:C686"/>
    <mergeCell ref="D685:E685"/>
    <mergeCell ref="D686:E686"/>
    <mergeCell ref="I686:J686"/>
    <mergeCell ref="K685:L685"/>
    <mergeCell ref="K686:L686"/>
    <mergeCell ref="C698:D698"/>
    <mergeCell ref="J698:K698"/>
    <mergeCell ref="B716:C716"/>
    <mergeCell ref="D715:E715"/>
    <mergeCell ref="D716:E716"/>
    <mergeCell ref="I716:J716"/>
    <mergeCell ref="K715:L715"/>
    <mergeCell ref="K716:L716"/>
    <mergeCell ref="C728:D728"/>
    <mergeCell ref="J728:K728"/>
    <mergeCell ref="B746:C746"/>
    <mergeCell ref="D745:E745"/>
    <mergeCell ref="D746:E746"/>
    <mergeCell ref="I746:J746"/>
    <mergeCell ref="K745:L745"/>
    <mergeCell ref="K746:L746"/>
    <mergeCell ref="C758:D758"/>
    <mergeCell ref="J758:K758"/>
    <mergeCell ref="B776:C776"/>
    <mergeCell ref="D775:E775"/>
    <mergeCell ref="D776:E776"/>
    <mergeCell ref="I776:J776"/>
    <mergeCell ref="K775:L775"/>
    <mergeCell ref="K776:L776"/>
    <mergeCell ref="C788:D788"/>
    <mergeCell ref="J788:K788"/>
    <mergeCell ref="B806:C806"/>
    <mergeCell ref="D805:E805"/>
    <mergeCell ref="D806:E806"/>
    <mergeCell ref="I806:J806"/>
    <mergeCell ref="K805:L805"/>
    <mergeCell ref="K806:L806"/>
    <mergeCell ref="C818:D818"/>
    <mergeCell ref="J818:K818"/>
    <mergeCell ref="B836:C836"/>
    <mergeCell ref="D835:E835"/>
    <mergeCell ref="D836:E836"/>
    <mergeCell ref="I836:J836"/>
    <mergeCell ref="K835:L835"/>
    <mergeCell ref="K836:L836"/>
    <mergeCell ref="C848:D848"/>
    <mergeCell ref="J848:K848"/>
    <mergeCell ref="B866:C866"/>
    <mergeCell ref="D865:E865"/>
    <mergeCell ref="D866:E866"/>
    <mergeCell ref="I866:J866"/>
    <mergeCell ref="K865:L865"/>
    <mergeCell ref="K866:L866"/>
    <mergeCell ref="C878:D878"/>
    <mergeCell ref="J878:K878"/>
    <mergeCell ref="B896:C896"/>
    <mergeCell ref="D895:E895"/>
    <mergeCell ref="D896:E896"/>
    <mergeCell ref="I896:J896"/>
    <mergeCell ref="K895:L895"/>
    <mergeCell ref="K896:L896"/>
    <mergeCell ref="C908:D908"/>
    <mergeCell ref="J908:K908"/>
    <mergeCell ref="B926:C926"/>
    <mergeCell ref="D925:E925"/>
    <mergeCell ref="D926:E926"/>
    <mergeCell ref="I926:J926"/>
    <mergeCell ref="K925:L925"/>
    <mergeCell ref="K926:L926"/>
    <mergeCell ref="C938:D938"/>
    <mergeCell ref="J938:K938"/>
    <mergeCell ref="B956:C956"/>
    <mergeCell ref="D955:E955"/>
    <mergeCell ref="D956:E956"/>
    <mergeCell ref="I956:J956"/>
    <mergeCell ref="K955:L955"/>
    <mergeCell ref="K956:L956"/>
    <mergeCell ref="C968:D968"/>
    <mergeCell ref="J968:K968"/>
    <mergeCell ref="B986:C986"/>
    <mergeCell ref="D985:E985"/>
    <mergeCell ref="D986:E986"/>
    <mergeCell ref="I986:J986"/>
    <mergeCell ref="K985:L985"/>
    <mergeCell ref="K986:L986"/>
    <mergeCell ref="C998:D998"/>
    <mergeCell ref="J998:K998"/>
    <mergeCell ref="B1016:C1016"/>
    <mergeCell ref="D1015:E1015"/>
    <mergeCell ref="D1016:E1016"/>
    <mergeCell ref="I1016:J1016"/>
    <mergeCell ref="K1015:L1015"/>
    <mergeCell ref="K1016:L1016"/>
    <mergeCell ref="C1028:D1028"/>
    <mergeCell ref="J1028:K1028"/>
    <mergeCell ref="B1046:C1046"/>
    <mergeCell ref="D1045:E1045"/>
    <mergeCell ref="D1046:E1046"/>
    <mergeCell ref="I1046:J1046"/>
    <mergeCell ref="K1045:L1045"/>
    <mergeCell ref="K1046:L1046"/>
    <mergeCell ref="C1058:D1058"/>
    <mergeCell ref="J1058:K1058"/>
    <mergeCell ref="B1076:C1076"/>
    <mergeCell ref="D1075:E1075"/>
    <mergeCell ref="D1076:E1076"/>
    <mergeCell ref="I1076:J1076"/>
    <mergeCell ref="K1075:L1075"/>
    <mergeCell ref="K1076:L1076"/>
    <mergeCell ref="C1088:D1088"/>
    <mergeCell ref="J1088:K1088"/>
    <mergeCell ref="B1106:C1106"/>
    <mergeCell ref="D1105:E1105"/>
    <mergeCell ref="D1106:E1106"/>
    <mergeCell ref="I1106:J1106"/>
    <mergeCell ref="K1105:L1105"/>
    <mergeCell ref="K1106:L1106"/>
    <mergeCell ref="C1118:D1118"/>
    <mergeCell ref="J1118:K1118"/>
    <mergeCell ref="B1136:C1136"/>
    <mergeCell ref="D1135:E1135"/>
    <mergeCell ref="D1136:E1136"/>
    <mergeCell ref="I1136:J1136"/>
    <mergeCell ref="K1135:L1135"/>
    <mergeCell ref="K1136:L1136"/>
    <mergeCell ref="C1148:D1148"/>
    <mergeCell ref="J1148:K1148"/>
    <mergeCell ref="B1166:C1166"/>
    <mergeCell ref="D1165:E1165"/>
    <mergeCell ref="D1166:E1166"/>
    <mergeCell ref="I1166:J1166"/>
    <mergeCell ref="K1165:L1165"/>
    <mergeCell ref="K1166:L1166"/>
    <mergeCell ref="C1178:D1178"/>
    <mergeCell ref="J1178:K1178"/>
    <mergeCell ref="B1196:C1196"/>
    <mergeCell ref="D1195:E1195"/>
    <mergeCell ref="D1196:E1196"/>
    <mergeCell ref="I1196:J1196"/>
    <mergeCell ref="K1195:L1195"/>
    <mergeCell ref="K1196:L1196"/>
    <mergeCell ref="C1208:D1208"/>
    <mergeCell ref="J1208:K1208"/>
    <mergeCell ref="B1226:C1226"/>
    <mergeCell ref="D1225:E1225"/>
    <mergeCell ref="D1226:E1226"/>
    <mergeCell ref="I1226:J1226"/>
    <mergeCell ref="K1225:L1225"/>
    <mergeCell ref="K1226:L1226"/>
    <mergeCell ref="C1238:D1238"/>
    <mergeCell ref="J1238:K1238"/>
    <mergeCell ref="B1256:C1256"/>
    <mergeCell ref="D1255:E1255"/>
    <mergeCell ref="D1256:E1256"/>
    <mergeCell ref="I1256:J1256"/>
    <mergeCell ref="K1255:L1255"/>
    <mergeCell ref="K1256:L1256"/>
    <mergeCell ref="C1268:D1268"/>
    <mergeCell ref="J1268:K1268"/>
    <mergeCell ref="B1286:C1286"/>
    <mergeCell ref="D1285:E1285"/>
    <mergeCell ref="D1286:E1286"/>
    <mergeCell ref="I1286:J1286"/>
    <mergeCell ref="K1285:L1285"/>
    <mergeCell ref="K1286:L1286"/>
    <mergeCell ref="C1298:D1298"/>
    <mergeCell ref="J1298:K1298"/>
    <mergeCell ref="B1316:C1316"/>
    <mergeCell ref="D1315:E1315"/>
    <mergeCell ref="D1316:E1316"/>
    <mergeCell ref="I1316:J1316"/>
    <mergeCell ref="K1315:L1315"/>
    <mergeCell ref="K1316:L1316"/>
    <mergeCell ref="C1328:D1328"/>
    <mergeCell ref="J1328:K1328"/>
    <mergeCell ref="B1346:C1346"/>
    <mergeCell ref="D1345:E1345"/>
    <mergeCell ref="D1346:E1346"/>
    <mergeCell ref="I1346:J1346"/>
    <mergeCell ref="K1345:L1345"/>
    <mergeCell ref="K1346:L1346"/>
    <mergeCell ref="C1358:D1358"/>
    <mergeCell ref="J1358:K1358"/>
    <mergeCell ref="B1376:C1376"/>
    <mergeCell ref="D1375:E1375"/>
    <mergeCell ref="D1376:E1376"/>
    <mergeCell ref="I1376:J1376"/>
    <mergeCell ref="K1375:L1375"/>
    <mergeCell ref="K1376:L1376"/>
    <mergeCell ref="C1388:D1388"/>
    <mergeCell ref="J1388:K1388"/>
    <mergeCell ref="B1406:C1406"/>
    <mergeCell ref="D1405:E1405"/>
    <mergeCell ref="D1406:E1406"/>
    <mergeCell ref="I1406:J1406"/>
    <mergeCell ref="K1405:L1405"/>
    <mergeCell ref="K1406:L1406"/>
    <mergeCell ref="C1418:D1418"/>
    <mergeCell ref="J1418:K1418"/>
    <mergeCell ref="B1436:C1436"/>
    <mergeCell ref="D1435:E1435"/>
    <mergeCell ref="D1436:E1436"/>
    <mergeCell ref="I1436:J1436"/>
    <mergeCell ref="K1435:L1435"/>
    <mergeCell ref="K1436:L1436"/>
    <mergeCell ref="C1448:D1448"/>
    <mergeCell ref="J1448:K1448"/>
    <mergeCell ref="B1466:C1466"/>
    <mergeCell ref="D1465:E1465"/>
    <mergeCell ref="D1466:E1466"/>
    <mergeCell ref="I1466:J1466"/>
    <mergeCell ref="K1465:L1465"/>
    <mergeCell ref="K1466:L1466"/>
    <mergeCell ref="C1478:D1478"/>
    <mergeCell ref="J1478:K1478"/>
    <mergeCell ref="B1496:C1496"/>
    <mergeCell ref="D1495:E1495"/>
    <mergeCell ref="D1496:E1496"/>
    <mergeCell ref="I1496:J1496"/>
    <mergeCell ref="K1495:L1495"/>
    <mergeCell ref="K1496:L1496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MasterSheet</vt:lpstr>
      <vt:lpstr>Statistics</vt:lpstr>
      <vt:lpstr>النتائج الورقية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2025-06-12T21:13:29Z</dcterms:created>
  <dcterms:modified xsi:type="dcterms:W3CDTF">2025-06-12T21:13:29Z</dcterms:modified>
</cp:coreProperties>
</file>